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4NGOS Services\Downloads\"/>
    </mc:Choice>
  </mc:AlternateContent>
  <xr:revisionPtr revIDLastSave="0" documentId="8_{B44C0ACD-8C54-47CE-BC59-004675872ECE}" xr6:coauthVersionLast="47" xr6:coauthVersionMax="47" xr10:uidLastSave="{00000000-0000-0000-0000-000000000000}"/>
  <bookViews>
    <workbookView xWindow="-110" yWindow="-110" windowWidth="29020" windowHeight="15700" xr2:uid="{EC1C8EF8-3A6D-4D0E-B878-0D886596E3BC}"/>
  </bookViews>
  <sheets>
    <sheet name="1st settlemen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2" l="1"/>
  <c r="C18" i="2"/>
  <c r="C17" i="2"/>
  <c r="C16" i="2"/>
  <c r="C15" i="2"/>
  <c r="C14" i="2"/>
  <c r="C13" i="2"/>
  <c r="C11" i="2"/>
  <c r="C12" i="2"/>
  <c r="C9" i="2"/>
  <c r="C10" i="2"/>
  <c r="C8" i="2"/>
  <c r="C7" i="2"/>
  <c r="C6" i="2"/>
  <c r="C5" i="2"/>
  <c r="C4" i="2"/>
  <c r="E20" i="2" l="1"/>
  <c r="D20" i="2"/>
  <c r="C24" i="2" s="1"/>
  <c r="D24" i="2" s="1"/>
  <c r="E24" i="2" s="1"/>
  <c r="C20" i="2"/>
  <c r="B24" i="2" s="1"/>
  <c r="C26" i="2" l="1"/>
  <c r="B26" i="2"/>
  <c r="D26" i="2"/>
  <c r="E26" i="2" l="1"/>
</calcChain>
</file>

<file path=xl/sharedStrings.xml><?xml version="1.0" encoding="utf-8"?>
<sst xmlns="http://schemas.openxmlformats.org/spreadsheetml/2006/main" count="45" uniqueCount="45">
  <si>
    <t>School Name</t>
  </si>
  <si>
    <t>Invoice No.</t>
  </si>
  <si>
    <t>Total(STEM)</t>
  </si>
  <si>
    <t>TDS</t>
  </si>
  <si>
    <t>Particulars</t>
  </si>
  <si>
    <t>Before GST amount</t>
  </si>
  <si>
    <t>GST Amount</t>
  </si>
  <si>
    <t>Total STEM Amount</t>
  </si>
  <si>
    <t>Bill Summery:</t>
  </si>
  <si>
    <t>Gross Amount</t>
  </si>
  <si>
    <t>Taxable amount</t>
  </si>
  <si>
    <t>Net Amount Payable</t>
  </si>
  <si>
    <t xml:space="preserve">Total Bill amount </t>
  </si>
  <si>
    <t>Less : Advance</t>
  </si>
  <si>
    <t>Balance Payable amount</t>
  </si>
  <si>
    <t>PM Shri Bhadoi High School</t>
  </si>
  <si>
    <t>SCI/2025-26/136</t>
  </si>
  <si>
    <t>Chachoni Checha Satra Academy High School</t>
  </si>
  <si>
    <t>SCI/2025-26/137</t>
  </si>
  <si>
    <t>PM Shri Government Secondary School</t>
  </si>
  <si>
    <t>SCI/2025-26/138</t>
  </si>
  <si>
    <t>Government Higher Secondary School</t>
  </si>
  <si>
    <t>SCI/2025-26/139</t>
  </si>
  <si>
    <t>SCI/2025-26/140</t>
  </si>
  <si>
    <t>Kalashi Higher Secondary School</t>
  </si>
  <si>
    <t>Barekuri High School</t>
  </si>
  <si>
    <t>SCI/2025-26/141</t>
  </si>
  <si>
    <t>PM Shri Gopal Krishnan High School</t>
  </si>
  <si>
    <t>SCI/2025-26/142</t>
  </si>
  <si>
    <t>Guijan Higher Secondary School</t>
  </si>
  <si>
    <t>SCI/2025-26/143</t>
  </si>
  <si>
    <t>Kothalguri Higher Secondary School</t>
  </si>
  <si>
    <t>SCI/2025-26/144</t>
  </si>
  <si>
    <t>Tipling Ghat High School</t>
  </si>
  <si>
    <t>SCI/2025-26/145</t>
  </si>
  <si>
    <t>CHI-CHIA Bokuloni Uccah Engraji</t>
  </si>
  <si>
    <t>SCI/2025-26/146</t>
  </si>
  <si>
    <t>Demow Higher Secondary School</t>
  </si>
  <si>
    <t>SCI/2025-26/147</t>
  </si>
  <si>
    <t>Hingrijan T.E. Model School</t>
  </si>
  <si>
    <t>SCI/2025-26/148</t>
  </si>
  <si>
    <t>Lengeri Higher Secondary School</t>
  </si>
  <si>
    <t>SCI/2025-26/149</t>
  </si>
  <si>
    <t>Moran Higher Secondary School</t>
  </si>
  <si>
    <t>SCI/2025-26/150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</si>
</sst>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43" fontId="0" fillId="0" borderId="1" xfId="1" applyFont="1" applyBorder="1"/>
    <xf numFmtId="0" fontId="0" fillId="0" borderId="0" xfId="0" applyAlignment="1">
      <alignment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3" fontId="4" fillId="0" borderId="4" xfId="1" applyFont="1" applyBorder="1" applyAlignment="1">
      <alignment horizontal="center" vertical="center" wrapText="1"/>
    </xf>
    <xf numFmtId="43" fontId="0" fillId="0" borderId="5" xfId="1" applyFont="1" applyBorder="1" applyAlignment="1">
      <alignment horizontal="center" wrapText="1"/>
    </xf>
    <xf numFmtId="0" fontId="4" fillId="0" borderId="6" xfId="0" applyFont="1" applyBorder="1" applyAlignment="1">
      <alignment vertical="center"/>
    </xf>
    <xf numFmtId="43" fontId="4" fillId="0" borderId="1" xfId="1" applyFont="1" applyBorder="1" applyAlignment="1">
      <alignment horizontal="center" vertical="center" wrapText="1"/>
    </xf>
    <xf numFmtId="43" fontId="0" fillId="0" borderId="7" xfId="1" applyFont="1" applyBorder="1" applyAlignment="1">
      <alignment horizontal="center" wrapText="1"/>
    </xf>
    <xf numFmtId="0" fontId="4" fillId="0" borderId="1" xfId="0" applyFont="1" applyBorder="1" applyAlignment="1">
      <alignment vertical="center" wrapText="1"/>
    </xf>
    <xf numFmtId="43" fontId="4" fillId="0" borderId="1" xfId="1" applyFont="1" applyBorder="1" applyAlignment="1">
      <alignment vertical="center" wrapText="1"/>
    </xf>
    <xf numFmtId="43" fontId="0" fillId="0" borderId="1" xfId="1" applyFont="1" applyBorder="1" applyAlignment="1">
      <alignment wrapText="1"/>
    </xf>
    <xf numFmtId="43" fontId="0" fillId="0" borderId="7" xfId="1" applyFont="1" applyBorder="1" applyAlignment="1">
      <alignment wrapText="1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vertical="center" wrapText="1"/>
    </xf>
    <xf numFmtId="43" fontId="4" fillId="0" borderId="9" xfId="1" applyFont="1" applyBorder="1" applyAlignment="1">
      <alignment vertical="center" wrapText="1"/>
    </xf>
    <xf numFmtId="43" fontId="0" fillId="0" borderId="9" xfId="1" applyFont="1" applyBorder="1" applyAlignment="1">
      <alignment wrapText="1"/>
    </xf>
    <xf numFmtId="43" fontId="0" fillId="0" borderId="10" xfId="1" applyFont="1" applyBorder="1" applyAlignment="1">
      <alignment wrapText="1"/>
    </xf>
    <xf numFmtId="0" fontId="5" fillId="0" borderId="11" xfId="0" applyFont="1" applyBorder="1" applyAlignment="1">
      <alignment vertical="center"/>
    </xf>
    <xf numFmtId="43" fontId="5" fillId="0" borderId="12" xfId="1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 wrapText="1"/>
    </xf>
    <xf numFmtId="43" fontId="5" fillId="0" borderId="13" xfId="1" applyFont="1" applyBorder="1" applyAlignment="1">
      <alignment vertical="center"/>
    </xf>
    <xf numFmtId="0" fontId="2" fillId="0" borderId="0" xfId="0" applyFont="1"/>
    <xf numFmtId="0" fontId="5" fillId="0" borderId="0" xfId="0" applyFont="1" applyAlignment="1">
      <alignment vertical="center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4" fillId="0" borderId="16" xfId="0" applyFont="1" applyBorder="1" applyAlignment="1">
      <alignment vertical="center"/>
    </xf>
    <xf numFmtId="164" fontId="0" fillId="0" borderId="17" xfId="0" applyNumberFormat="1" applyBorder="1"/>
    <xf numFmtId="164" fontId="0" fillId="0" borderId="18" xfId="0" applyNumberFormat="1" applyBorder="1" applyAlignment="1">
      <alignment wrapText="1"/>
    </xf>
    <xf numFmtId="164" fontId="0" fillId="0" borderId="16" xfId="0" applyNumberFormat="1" applyBorder="1" applyAlignment="1">
      <alignment wrapText="1"/>
    </xf>
    <xf numFmtId="164" fontId="0" fillId="0" borderId="19" xfId="0" applyNumberFormat="1" applyBorder="1" applyAlignment="1">
      <alignment wrapText="1"/>
    </xf>
    <xf numFmtId="43" fontId="0" fillId="0" borderId="20" xfId="1" applyFont="1" applyBorder="1"/>
    <xf numFmtId="164" fontId="0" fillId="0" borderId="8" xfId="0" applyNumberFormat="1" applyBorder="1" applyAlignment="1">
      <alignment wrapText="1"/>
    </xf>
    <xf numFmtId="164" fontId="0" fillId="0" borderId="10" xfId="0" applyNumberFormat="1" applyBorder="1" applyAlignment="1">
      <alignment wrapText="1"/>
    </xf>
    <xf numFmtId="0" fontId="5" fillId="0" borderId="21" xfId="0" applyFont="1" applyBorder="1" applyAlignment="1">
      <alignment vertical="center"/>
    </xf>
    <xf numFmtId="164" fontId="2" fillId="3" borderId="22" xfId="0" applyNumberFormat="1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3" xfId="0" applyFont="1" applyBorder="1" applyAlignment="1">
      <alignment wrapText="1"/>
    </xf>
    <xf numFmtId="0" fontId="4" fillId="4" borderId="2" xfId="0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1C61-102E-46C6-850A-DFCDC15B07C6}">
  <sheetPr>
    <pageSetUpPr fitToPage="1"/>
  </sheetPr>
  <dimension ref="A2:E36"/>
  <sheetViews>
    <sheetView tabSelected="1" workbookViewId="0">
      <selection activeCell="H15" sqref="H15"/>
    </sheetView>
  </sheetViews>
  <sheetFormatPr defaultRowHeight="14.5" x14ac:dyDescent="0.35"/>
  <cols>
    <col min="1" max="1" width="40.1796875" bestFit="1" customWidth="1"/>
    <col min="2" max="2" width="15.26953125" style="2" bestFit="1" customWidth="1"/>
    <col min="3" max="3" width="13.7265625" style="2" bestFit="1" customWidth="1"/>
    <col min="4" max="4" width="13.26953125" style="2" bestFit="1" customWidth="1"/>
    <col min="5" max="5" width="13.7265625" style="2" bestFit="1" customWidth="1"/>
  </cols>
  <sheetData>
    <row r="2" spans="1:5" ht="15" thickBot="1" x14ac:dyDescent="0.4"/>
    <row r="3" spans="1:5" ht="57" customHeight="1" thickBot="1" x14ac:dyDescent="0.4">
      <c r="A3" s="3" t="s">
        <v>0</v>
      </c>
      <c r="B3" s="4" t="s">
        <v>1</v>
      </c>
      <c r="C3" s="4" t="s">
        <v>7</v>
      </c>
      <c r="D3" s="4" t="s">
        <v>5</v>
      </c>
      <c r="E3" s="5" t="s">
        <v>6</v>
      </c>
    </row>
    <row r="4" spans="1:5" ht="14.25" customHeight="1" x14ac:dyDescent="0.35">
      <c r="A4" s="42" t="s">
        <v>15</v>
      </c>
      <c r="B4" s="11" t="s">
        <v>16</v>
      </c>
      <c r="C4" s="6">
        <f t="shared" ref="C4:C18" si="0">D4+E4</f>
        <v>417945.38</v>
      </c>
      <c r="D4" s="6">
        <v>388030</v>
      </c>
      <c r="E4" s="7">
        <v>29915.38</v>
      </c>
    </row>
    <row r="5" spans="1:5" x14ac:dyDescent="0.35">
      <c r="A5" s="43" t="s">
        <v>17</v>
      </c>
      <c r="B5" s="11" t="s">
        <v>18</v>
      </c>
      <c r="C5" s="9">
        <f t="shared" si="0"/>
        <v>417945.38</v>
      </c>
      <c r="D5" s="9">
        <v>388030</v>
      </c>
      <c r="E5" s="10">
        <v>29915.38</v>
      </c>
    </row>
    <row r="6" spans="1:5" x14ac:dyDescent="0.35">
      <c r="A6" s="44" t="s">
        <v>19</v>
      </c>
      <c r="B6" s="11" t="s">
        <v>20</v>
      </c>
      <c r="C6" s="12">
        <f t="shared" si="0"/>
        <v>417945.38</v>
      </c>
      <c r="D6" s="9">
        <v>388030</v>
      </c>
      <c r="E6" s="14">
        <v>29915.38</v>
      </c>
    </row>
    <row r="7" spans="1:5" x14ac:dyDescent="0.35">
      <c r="A7" s="44" t="s">
        <v>21</v>
      </c>
      <c r="B7" s="11" t="s">
        <v>22</v>
      </c>
      <c r="C7" s="12">
        <f t="shared" si="0"/>
        <v>417945.38</v>
      </c>
      <c r="D7" s="13">
        <v>388030</v>
      </c>
      <c r="E7" s="14">
        <v>29915.38</v>
      </c>
    </row>
    <row r="8" spans="1:5" x14ac:dyDescent="0.35">
      <c r="A8" s="44" t="s">
        <v>24</v>
      </c>
      <c r="B8" s="11" t="s">
        <v>23</v>
      </c>
      <c r="C8" s="12">
        <f t="shared" si="0"/>
        <v>417945.38</v>
      </c>
      <c r="D8" s="13">
        <v>388030</v>
      </c>
      <c r="E8" s="14">
        <v>29915.38</v>
      </c>
    </row>
    <row r="9" spans="1:5" x14ac:dyDescent="0.35">
      <c r="A9" s="44" t="s">
        <v>25</v>
      </c>
      <c r="B9" s="11" t="s">
        <v>26</v>
      </c>
      <c r="C9" s="12">
        <f t="shared" si="0"/>
        <v>417945.38</v>
      </c>
      <c r="D9" s="13">
        <v>388030</v>
      </c>
      <c r="E9" s="14">
        <v>29915.38</v>
      </c>
    </row>
    <row r="10" spans="1:5" x14ac:dyDescent="0.35">
      <c r="A10" s="44" t="s">
        <v>27</v>
      </c>
      <c r="B10" s="11" t="s">
        <v>28</v>
      </c>
      <c r="C10" s="12">
        <f t="shared" si="0"/>
        <v>417945.38</v>
      </c>
      <c r="D10" s="13">
        <v>388030</v>
      </c>
      <c r="E10" s="14">
        <v>29915.38</v>
      </c>
    </row>
    <row r="11" spans="1:5" x14ac:dyDescent="0.35">
      <c r="A11" s="44" t="s">
        <v>29</v>
      </c>
      <c r="B11" s="11" t="s">
        <v>30</v>
      </c>
      <c r="C11" s="12">
        <f t="shared" si="0"/>
        <v>417945.38</v>
      </c>
      <c r="D11" s="13">
        <v>388030</v>
      </c>
      <c r="E11" s="14">
        <v>29915.38</v>
      </c>
    </row>
    <row r="12" spans="1:5" x14ac:dyDescent="0.35">
      <c r="A12" s="44" t="s">
        <v>31</v>
      </c>
      <c r="B12" s="11" t="s">
        <v>32</v>
      </c>
      <c r="C12" s="12">
        <f t="shared" si="0"/>
        <v>417945.38</v>
      </c>
      <c r="D12" s="13">
        <v>388030</v>
      </c>
      <c r="E12" s="14">
        <v>29915.38</v>
      </c>
    </row>
    <row r="13" spans="1:5" x14ac:dyDescent="0.35">
      <c r="A13" s="44" t="s">
        <v>33</v>
      </c>
      <c r="B13" s="11" t="s">
        <v>34</v>
      </c>
      <c r="C13" s="12">
        <f t="shared" si="0"/>
        <v>417945.38</v>
      </c>
      <c r="D13" s="13">
        <v>388030</v>
      </c>
      <c r="E13" s="14">
        <v>29915.38</v>
      </c>
    </row>
    <row r="14" spans="1:5" x14ac:dyDescent="0.35">
      <c r="A14" s="44" t="s">
        <v>35</v>
      </c>
      <c r="B14" s="11" t="s">
        <v>36</v>
      </c>
      <c r="C14" s="12">
        <f t="shared" si="0"/>
        <v>417945.38</v>
      </c>
      <c r="D14" s="13">
        <v>388030</v>
      </c>
      <c r="E14" s="14">
        <v>29915.38</v>
      </c>
    </row>
    <row r="15" spans="1:5" x14ac:dyDescent="0.35">
      <c r="A15" s="44" t="s">
        <v>37</v>
      </c>
      <c r="B15" s="11" t="s">
        <v>38</v>
      </c>
      <c r="C15" s="12">
        <f t="shared" si="0"/>
        <v>417945.38</v>
      </c>
      <c r="D15" s="13">
        <v>388030</v>
      </c>
      <c r="E15" s="14">
        <v>29915.38</v>
      </c>
    </row>
    <row r="16" spans="1:5" x14ac:dyDescent="0.35">
      <c r="A16" s="44" t="s">
        <v>39</v>
      </c>
      <c r="B16" s="11" t="s">
        <v>40</v>
      </c>
      <c r="C16" s="12">
        <f t="shared" si="0"/>
        <v>417945.38</v>
      </c>
      <c r="D16" s="13">
        <v>388030</v>
      </c>
      <c r="E16" s="14">
        <v>29915.38</v>
      </c>
    </row>
    <row r="17" spans="1:5" x14ac:dyDescent="0.35">
      <c r="A17" s="44" t="s">
        <v>41</v>
      </c>
      <c r="B17" s="11" t="s">
        <v>42</v>
      </c>
      <c r="C17" s="12">
        <f t="shared" si="0"/>
        <v>417945.38</v>
      </c>
      <c r="D17" s="13">
        <v>388030</v>
      </c>
      <c r="E17" s="14">
        <v>29915.38</v>
      </c>
    </row>
    <row r="18" spans="1:5" x14ac:dyDescent="0.35">
      <c r="A18" s="44" t="s">
        <v>43</v>
      </c>
      <c r="B18" s="11" t="s">
        <v>44</v>
      </c>
      <c r="C18" s="12">
        <f t="shared" si="0"/>
        <v>417945.38</v>
      </c>
      <c r="D18" s="13">
        <v>388030</v>
      </c>
      <c r="E18" s="14">
        <v>29915.38</v>
      </c>
    </row>
    <row r="19" spans="1:5" ht="15" thickBot="1" x14ac:dyDescent="0.4">
      <c r="A19" s="15"/>
      <c r="B19" s="16"/>
      <c r="C19" s="17"/>
      <c r="D19" s="18"/>
      <c r="E19" s="19"/>
    </row>
    <row r="20" spans="1:5" ht="15" thickBot="1" x14ac:dyDescent="0.4">
      <c r="A20" s="22"/>
      <c r="B20" s="23" t="s">
        <v>2</v>
      </c>
      <c r="C20" s="21">
        <f>SUM(C4:C19)</f>
        <v>6269180.6999999993</v>
      </c>
      <c r="D20" s="21">
        <f t="shared" ref="D20:E20" si="1">SUM(D4:D19)</f>
        <v>5820450</v>
      </c>
      <c r="E20" s="24">
        <f t="shared" si="1"/>
        <v>448730.7</v>
      </c>
    </row>
    <row r="22" spans="1:5" ht="15" thickBot="1" x14ac:dyDescent="0.4">
      <c r="A22" s="26" t="s">
        <v>8</v>
      </c>
    </row>
    <row r="23" spans="1:5" ht="29.5" thickBot="1" x14ac:dyDescent="0.4">
      <c r="A23" s="20" t="s">
        <v>4</v>
      </c>
      <c r="B23" s="27" t="s">
        <v>9</v>
      </c>
      <c r="C23" s="28" t="s">
        <v>10</v>
      </c>
      <c r="D23" s="29" t="s">
        <v>3</v>
      </c>
      <c r="E23" s="41" t="s">
        <v>11</v>
      </c>
    </row>
    <row r="24" spans="1:5" x14ac:dyDescent="0.35">
      <c r="A24" s="30" t="s">
        <v>12</v>
      </c>
      <c r="B24" s="31">
        <f>+C20</f>
        <v>6269180.6999999993</v>
      </c>
      <c r="C24" s="32">
        <f>+D20</f>
        <v>5820450</v>
      </c>
      <c r="D24" s="33">
        <f>C24*2%</f>
        <v>116409</v>
      </c>
      <c r="E24" s="34">
        <f>B24-D24</f>
        <v>6152771.6999999993</v>
      </c>
    </row>
    <row r="25" spans="1:5" x14ac:dyDescent="0.35">
      <c r="A25" s="8" t="s">
        <v>13</v>
      </c>
      <c r="B25" s="1">
        <v>2507672</v>
      </c>
      <c r="C25" s="35">
        <v>2507672</v>
      </c>
      <c r="D25" s="36">
        <v>50154</v>
      </c>
      <c r="E25" s="37">
        <f>C25-D25</f>
        <v>2457518</v>
      </c>
    </row>
    <row r="26" spans="1:5" ht="15" thickBot="1" x14ac:dyDescent="0.4">
      <c r="A26" s="38" t="s">
        <v>14</v>
      </c>
      <c r="B26" s="39">
        <f>B24-B25</f>
        <v>3761508.6999999993</v>
      </c>
      <c r="C26" s="39">
        <f t="shared" ref="C26:E26" si="2">C24-C25</f>
        <v>3312778</v>
      </c>
      <c r="D26" s="39">
        <f t="shared" si="2"/>
        <v>66255</v>
      </c>
      <c r="E26" s="39">
        <f t="shared" si="2"/>
        <v>3695253.6999999993</v>
      </c>
    </row>
    <row r="31" spans="1:5" x14ac:dyDescent="0.35">
      <c r="A31" s="25"/>
    </row>
    <row r="36" spans="1:2" x14ac:dyDescent="0.35">
      <c r="A36" s="25"/>
      <c r="B36" s="40"/>
    </row>
  </sheetData>
  <pageMargins left="0.70866141732283472" right="0.70866141732283472" top="0.74803149606299213" bottom="0.74803149606299213" header="0.31496062992125984" footer="0.31496062992125984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1st settlement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Sanjib Mukherjee</dc:creator>
  <cp:lastModifiedBy>Aravind Ramamurthy</cp:lastModifiedBy>
  <cp:lastPrinted>2025-04-30T04:50:46Z</cp:lastPrinted>
  <dcterms:created xsi:type="dcterms:W3CDTF">2024-12-06T02:21:39Z</dcterms:created>
  <dcterms:modified xsi:type="dcterms:W3CDTF">2026-03-11T04:26:04Z</dcterms:modified>
</cp:coreProperties>
</file>