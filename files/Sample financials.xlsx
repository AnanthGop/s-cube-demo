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Sandhya\Downloads\"/>
    </mc:Choice>
  </mc:AlternateContent>
  <xr:revisionPtr revIDLastSave="0" documentId="13_ncr:1_{E755229F-352F-4898-BBC7-E278B318B745}" xr6:coauthVersionLast="47" xr6:coauthVersionMax="47" xr10:uidLastSave="{00000000-0000-0000-0000-000000000000}"/>
  <bookViews>
    <workbookView xWindow="-120" yWindow="-120" windowWidth="29040" windowHeight="15720" tabRatio="971" firstSheet="5" activeTab="9" xr2:uid="{00000000-000D-0000-FFFF-FFFF00000000}"/>
  </bookViews>
  <sheets>
    <sheet name="Computation" sheetId="72" state="hidden" r:id="rId1"/>
    <sheet name="Disallowances22-23" sheetId="89" state="hidden" r:id="rId2"/>
    <sheet name="Balance Sheet" sheetId="3" r:id="rId3"/>
    <sheet name="Income &amp; Expenditure" sheetId="4" r:id="rId4"/>
    <sheet name="Fund Based I&amp;E" sheetId="77" r:id="rId5"/>
    <sheet name="Note 1 Share Capital" sheetId="10" r:id="rId6"/>
    <sheet name="Notes 2 to 11" sheetId="13" r:id="rId7"/>
    <sheet name="Note 12 Restricted Fund Movmnt" sheetId="76" r:id="rId8"/>
    <sheet name="Note 13 &amp; 13A Fixed Assets" sheetId="81" r:id="rId9"/>
    <sheet name="Cash Flow" sheetId="6" r:id="rId10"/>
    <sheet name="Receipts &amp; Payments" sheetId="82" r:id="rId11"/>
    <sheet name="26. Finance Costs" sheetId="35" state="hidden" r:id="rId12"/>
    <sheet name="27. Other Expenses" sheetId="36" state="hidden" r:id="rId13"/>
    <sheet name="28. Exceptional &amp; Extraordinary" sheetId="37" state="hidden" r:id="rId14"/>
    <sheet name="29. Addl Info to the FS " sheetId="38" state="hidden" r:id="rId15"/>
    <sheet name="30.1 AS 7 Disclosures" sheetId="39" state="hidden" r:id="rId16"/>
    <sheet name="30.2 AS 12 Disclosures" sheetId="47" state="hidden" r:id="rId17"/>
    <sheet name="30.3 AS 14 Disclosures" sheetId="48" state="hidden" r:id="rId18"/>
    <sheet name="30.4 AS 15 Disclosures" sheetId="40" state="hidden" r:id="rId19"/>
    <sheet name="30.5 AS 16 Disclosures" sheetId="41" state="hidden" r:id="rId20"/>
    <sheet name="30.6 AS 17 Disclosures" sheetId="49" state="hidden" r:id="rId21"/>
    <sheet name="30.7 AS 18 Disclosures" sheetId="42" state="hidden" r:id="rId22"/>
    <sheet name="30.8 AS 19 Disclosures" sheetId="43" state="hidden" r:id="rId23"/>
    <sheet name="30.9 AS 20 Disclosures" sheetId="50" state="hidden" r:id="rId24"/>
    <sheet name="30.10 AS 22 Disclosures " sheetId="51" state="hidden" r:id="rId25"/>
    <sheet name="30.11 AS 24 Disclosures " sheetId="54" state="hidden" r:id="rId26"/>
    <sheet name="30.12 AS 26 Disclosures " sheetId="55" state="hidden" r:id="rId27"/>
    <sheet name="30.13 AS 27 Disclosures" sheetId="44" state="hidden" r:id="rId28"/>
    <sheet name="30.14 AS 29 Disclosures" sheetId="56" state="hidden" r:id="rId29"/>
    <sheet name="31. Details of ESOP" sheetId="45" state="hidden" r:id="rId30"/>
    <sheet name="32. Previous Year's Figures" sheetId="46" state="hidden" r:id="rId31"/>
    <sheet name="Note 6A Fixed Assets Own Funds" sheetId="80" state="hidden" r:id="rId32"/>
    <sheet name="Master Fixed Assets 2015-16" sheetId="71" state="hidden" r:id="rId33"/>
    <sheet name="Master FA 2014-15 revised" sheetId="78" state="hidden" r:id="rId34"/>
    <sheet name="Depn details" sheetId="74" state="hidden" r:id="rId35"/>
    <sheet name="Yearly comparison" sheetId="84" state="hidden" r:id="rId36"/>
    <sheet name="R&amp;P crs working" sheetId="83" state="hidden" r:id="rId37"/>
  </sheets>
  <definedNames>
    <definedName name="___INDEX_SHEET___ASAP_Utilities" localSheetId="8">#REF!</definedName>
    <definedName name="___INDEX_SHEET___ASAP_Utilities" localSheetId="31">#REF!</definedName>
    <definedName name="___INDEX_SHEET___ASAP_Utilities">#REF!</definedName>
    <definedName name="_xlnm._FilterDatabase" localSheetId="7" hidden="1">'Note 12 Restricted Fund Movmnt'!$A$6:$H$15</definedName>
    <definedName name="_xlnm._FilterDatabase" localSheetId="36" hidden="1">'R&amp;P crs working'!$A$9:$S$120</definedName>
    <definedName name="_ftn1" localSheetId="14">'29. Addl Info to the FS '!#REF!</definedName>
    <definedName name="_ftn2" localSheetId="14">'29. Addl Info to the FS '!#REF!</definedName>
    <definedName name="_ftn3" localSheetId="14">'29. Addl Info to the FS '!#REF!</definedName>
    <definedName name="_ftn4" localSheetId="14">'29. Addl Info to the FS '!#REF!</definedName>
    <definedName name="_ftn5" localSheetId="14">'29. Addl Info to the FS '!#REF!</definedName>
    <definedName name="_ftnref5" localSheetId="14">'29. Addl Info to the FS '!#REF!</definedName>
    <definedName name="Contents">#REF!</definedName>
    <definedName name="_xlnm.Print_Area" localSheetId="25">'30.11 AS 24 Disclosures '!$A$1:$E$52</definedName>
    <definedName name="_xlnm.Print_Area" localSheetId="16">'30.2 AS 12 Disclosures'!$A$1:$E$16</definedName>
    <definedName name="_xlnm.Print_Area" localSheetId="22">'30.8 AS 19 Disclosures'!$A$1:$E$71</definedName>
    <definedName name="_xlnm.Print_Area" localSheetId="4">'Fund Based I&amp;E'!$A$1:$D$71</definedName>
    <definedName name="_xlnm.Print_Area" localSheetId="32">'Master Fixed Assets 2015-16'!$B$1:$K$16</definedName>
    <definedName name="_xlnm.Print_Area" localSheetId="7">'Note 12 Restricted Fund Movmnt'!$A$1:$H$16</definedName>
    <definedName name="_xlnm.Print_Area" localSheetId="8">'Note 13 &amp; 13A Fixed Assets'!$A$1:$M$29</definedName>
    <definedName name="_xlnm.Print_Area" localSheetId="31">'Note 6A Fixed Assets Own Funds'!$B$1:$K$4</definedName>
    <definedName name="_xlnm.Print_Area" localSheetId="10">'Receipts &amp; Payments'!$A$1:$H$41</definedName>
    <definedName name="_xlnm.Print_Titles" localSheetId="12">'27. Other Expenses'!$2:$4</definedName>
    <definedName name="_xlnm.Print_Titles" localSheetId="14">'29. Addl Info to the FS '!$2:$4</definedName>
    <definedName name="_xlnm.Print_Titles" localSheetId="25">'30.11 AS 24 Disclosures '!$2:$8</definedName>
    <definedName name="_xlnm.Print_Titles" localSheetId="18">'30.4 AS 15 Disclosures'!$2:$4</definedName>
    <definedName name="_xlnm.Print_Titles" localSheetId="20">'30.6 AS 17 Disclosures'!$2:$4</definedName>
    <definedName name="_xlnm.Print_Titles" localSheetId="23">'30.9 AS 20 Disclosures'!$2:$4</definedName>
    <definedName name="_xlnm.Print_Titles" localSheetId="29">'31. Details of ESOP'!$2:$4</definedName>
    <definedName name="_xlnm.Print_Titles" localSheetId="9">'Cash Flow'!$7:$8</definedName>
    <definedName name="_xlnm.Print_Titles" localSheetId="6">'Notes 2 to 11'!$1:$5</definedName>
    <definedName name="Z_9426E38C_13B4_4AE0_934B_D7DFB740B66C_.wvu.PrintArea" localSheetId="11" hidden="1">'26. Finance Costs'!$A$1:$D$22</definedName>
    <definedName name="Z_9426E38C_13B4_4AE0_934B_D7DFB740B66C_.wvu.PrintArea" localSheetId="14" hidden="1">'29. Addl Info to the FS '!$A$2:$F$106</definedName>
    <definedName name="Z_9426E38C_13B4_4AE0_934B_D7DFB740B66C_.wvu.PrintArea" localSheetId="15" hidden="1">'30.1 AS 7 Disclosures'!$A$1:$E$16</definedName>
    <definedName name="Z_9426E38C_13B4_4AE0_934B_D7DFB740B66C_.wvu.PrintArea" localSheetId="24" hidden="1">'30.10 AS 22 Disclosures '!$A$1:$E$32</definedName>
    <definedName name="Z_9426E38C_13B4_4AE0_934B_D7DFB740B66C_.wvu.PrintArea" localSheetId="25" hidden="1">'30.11 AS 24 Disclosures '!$A$1:$E$52</definedName>
    <definedName name="Z_9426E38C_13B4_4AE0_934B_D7DFB740B66C_.wvu.PrintArea" localSheetId="26" hidden="1">'30.12 AS 26 Disclosures '!$A$1:$E$22</definedName>
    <definedName name="Z_9426E38C_13B4_4AE0_934B_D7DFB740B66C_.wvu.PrintArea" localSheetId="16" hidden="1">'30.2 AS 12 Disclosures'!$A$1:$E$16</definedName>
    <definedName name="Z_9426E38C_13B4_4AE0_934B_D7DFB740B66C_.wvu.PrintArea" localSheetId="17" hidden="1">'30.3 AS 14 Disclosures'!$A$1:$E$27</definedName>
    <definedName name="Z_9426E38C_13B4_4AE0_934B_D7DFB740B66C_.wvu.PrintArea" localSheetId="18" hidden="1">'30.4 AS 15 Disclosures'!$A$1:$I$129</definedName>
    <definedName name="Z_9426E38C_13B4_4AE0_934B_D7DFB740B66C_.wvu.PrintArea" localSheetId="19" hidden="1">'30.5 AS 16 Disclosures'!$A$1:$C$14</definedName>
    <definedName name="Z_9426E38C_13B4_4AE0_934B_D7DFB740B66C_.wvu.PrintArea" localSheetId="20" hidden="1">'30.6 AS 17 Disclosures'!$A$1:$E$90</definedName>
    <definedName name="Z_9426E38C_13B4_4AE0_934B_D7DFB740B66C_.wvu.PrintArea" localSheetId="22" hidden="1">'30.8 AS 19 Disclosures'!$A$1:$E$71</definedName>
    <definedName name="Z_9426E38C_13B4_4AE0_934B_D7DFB740B66C_.wvu.PrintArea" localSheetId="23" hidden="1">'30.9 AS 20 Disclosures'!$A$1:$E$104</definedName>
    <definedName name="Z_9426E38C_13B4_4AE0_934B_D7DFB740B66C_.wvu.PrintArea" localSheetId="5" hidden="1">'Note 1 Share Capital'!$A$1:$E$20</definedName>
    <definedName name="Z_9426E38C_13B4_4AE0_934B_D7DFB740B66C_.wvu.PrintArea" localSheetId="6" hidden="1">'Notes 2 to 11'!$A$1:$C$21</definedName>
    <definedName name="Z_9426E38C_13B4_4AE0_934B_D7DFB740B66C_.wvu.PrintTitles" localSheetId="15" hidden="1">'30.1 AS 7 Disclosures'!#REF!</definedName>
    <definedName name="Z_9426E38C_13B4_4AE0_934B_D7DFB740B66C_.wvu.PrintTitles" localSheetId="24" hidden="1">'30.10 AS 22 Disclosures '!#REF!</definedName>
    <definedName name="Z_9426E38C_13B4_4AE0_934B_D7DFB740B66C_.wvu.PrintTitles" localSheetId="25" hidden="1">'30.11 AS 24 Disclosures '!#REF!</definedName>
    <definedName name="Z_9426E38C_13B4_4AE0_934B_D7DFB740B66C_.wvu.PrintTitles" localSheetId="26" hidden="1">'30.12 AS 26 Disclosures '!#REF!</definedName>
    <definedName name="Z_9426E38C_13B4_4AE0_934B_D7DFB740B66C_.wvu.PrintTitles" localSheetId="16" hidden="1">'30.2 AS 12 Disclosures'!#REF!</definedName>
    <definedName name="Z_9426E38C_13B4_4AE0_934B_D7DFB740B66C_.wvu.PrintTitles" localSheetId="17" hidden="1">'30.3 AS 14 Disclosures'!#REF!</definedName>
    <definedName name="Z_9426E38C_13B4_4AE0_934B_D7DFB740B66C_.wvu.PrintTitles" localSheetId="19" hidden="1">'30.5 AS 16 Disclosures'!#REF!</definedName>
    <definedName name="Z_9426E38C_13B4_4AE0_934B_D7DFB740B66C_.wvu.PrintTitles" localSheetId="20" hidden="1">'30.6 AS 17 Disclosures'!#REF!</definedName>
    <definedName name="Z_9426E38C_13B4_4AE0_934B_D7DFB740B66C_.wvu.PrintTitles" localSheetId="22" hidden="1">'30.8 AS 19 Disclosures'!#REF!</definedName>
    <definedName name="Z_9426E38C_13B4_4AE0_934B_D7DFB740B66C_.wvu.PrintTitles" localSheetId="23" hidden="1">'30.9 AS 20 Disclosures'!#REF!</definedName>
    <definedName name="Z_9426E38C_13B4_4AE0_934B_D7DFB740B66C_.wvu.PrintTitles" localSheetId="9" hidden="1">'Cash Flow'!$7:$8</definedName>
  </definedNames>
  <calcPr calcId="191029" iterate="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6" i="13" l="1"/>
  <c r="B63" i="13" l="1"/>
  <c r="C88" i="13" l="1"/>
  <c r="B87" i="13" l="1"/>
  <c r="C97" i="13" l="1"/>
  <c r="Z38" i="77" l="1"/>
  <c r="Z30" i="77"/>
  <c r="Z34" i="77"/>
  <c r="Z21" i="77"/>
  <c r="Z29" i="77"/>
  <c r="Z15" i="77"/>
  <c r="Z55" i="77" l="1"/>
  <c r="Z56" i="77" l="1"/>
  <c r="Z57" i="77" s="1"/>
  <c r="AG39" i="77" l="1"/>
  <c r="AG37" i="77"/>
  <c r="AG36" i="77"/>
  <c r="AG35" i="77"/>
  <c r="AG33" i="77"/>
  <c r="AG31" i="77"/>
  <c r="AG30" i="77"/>
  <c r="AG29" i="77"/>
  <c r="AG28" i="77"/>
  <c r="AG27" i="77"/>
  <c r="AG26" i="77"/>
  <c r="AG25" i="77"/>
  <c r="AG24" i="77"/>
  <c r="AG22" i="77"/>
  <c r="AG21" i="77"/>
  <c r="AG20" i="77"/>
  <c r="AG19" i="77"/>
  <c r="AG18" i="77"/>
  <c r="B109" i="13"/>
  <c r="P34" i="77" l="1"/>
  <c r="AF15" i="77" l="1"/>
  <c r="AE55" i="77" l="1"/>
  <c r="AD55" i="77"/>
  <c r="AC55" i="77"/>
  <c r="AB55" i="77"/>
  <c r="AA55" i="77"/>
  <c r="Y55" i="77"/>
  <c r="X55" i="77"/>
  <c r="W34" i="77"/>
  <c r="AG34" i="77" s="1"/>
  <c r="W32" i="77"/>
  <c r="AG32" i="77" s="1"/>
  <c r="W23" i="77"/>
  <c r="AG23" i="77" s="1"/>
  <c r="W55" i="77" l="1"/>
  <c r="K38" i="77"/>
  <c r="AG38" i="77" s="1"/>
  <c r="AG54" i="77" l="1"/>
  <c r="AG53" i="77"/>
  <c r="AG52" i="77"/>
  <c r="AG51" i="77"/>
  <c r="AG50" i="77"/>
  <c r="AG49" i="77"/>
  <c r="AG48" i="77"/>
  <c r="AG47" i="77"/>
  <c r="AG46" i="77"/>
  <c r="AG45" i="77"/>
  <c r="AG44" i="77"/>
  <c r="AG43" i="77"/>
  <c r="AG42" i="77"/>
  <c r="AG41" i="77"/>
  <c r="AG40" i="77"/>
  <c r="C66" i="13"/>
  <c r="B13" i="76" l="1"/>
  <c r="E56" i="77"/>
  <c r="F13" i="76" l="1"/>
  <c r="AF56" i="77" l="1"/>
  <c r="AC56" i="77"/>
  <c r="AC57" i="77" s="1"/>
  <c r="AB56" i="77"/>
  <c r="AB57" i="77" s="1"/>
  <c r="AA56" i="77"/>
  <c r="AA57" i="77" s="1"/>
  <c r="Y56" i="77"/>
  <c r="Y57" i="77" s="1"/>
  <c r="X56" i="77"/>
  <c r="X57" i="77" s="1"/>
  <c r="W56" i="77"/>
  <c r="W57" i="77" s="1"/>
  <c r="V56" i="77"/>
  <c r="U56" i="77"/>
  <c r="T56" i="77"/>
  <c r="S56" i="77"/>
  <c r="R56" i="77"/>
  <c r="Q56" i="77"/>
  <c r="P56" i="77"/>
  <c r="O56" i="77"/>
  <c r="N56" i="77"/>
  <c r="M56" i="77"/>
  <c r="L56" i="77"/>
  <c r="J56" i="77"/>
  <c r="I56" i="77"/>
  <c r="H56" i="77"/>
  <c r="G56" i="77"/>
  <c r="B14" i="76"/>
  <c r="AE56" i="77" l="1"/>
  <c r="AD56" i="77"/>
  <c r="AD57" i="77" s="1"/>
  <c r="B15" i="76" l="1"/>
  <c r="K56" i="77" l="1"/>
  <c r="E13" i="76"/>
  <c r="C57" i="13"/>
  <c r="C69" i="13" s="1"/>
  <c r="C17" i="13" l="1"/>
  <c r="C11" i="13"/>
  <c r="B17" i="13" l="1"/>
  <c r="C21" i="13"/>
  <c r="C77" i="13" l="1"/>
  <c r="C122" i="13" l="1"/>
  <c r="C38" i="13"/>
  <c r="C138" i="13"/>
  <c r="B94" i="13" l="1"/>
  <c r="B128" i="13"/>
  <c r="B133" i="13"/>
  <c r="B136" i="13"/>
  <c r="B134" i="13"/>
  <c r="B131" i="13"/>
  <c r="B130" i="13"/>
  <c r="B129" i="13"/>
  <c r="B96" i="13" l="1"/>
  <c r="B135" i="13"/>
  <c r="L14" i="81"/>
  <c r="F14" i="81"/>
  <c r="B82" i="13"/>
  <c r="B83" i="13"/>
  <c r="K14" i="81"/>
  <c r="B101" i="13"/>
  <c r="B100" i="13"/>
  <c r="B103" i="13"/>
  <c r="B105" i="13"/>
  <c r="B114" i="13"/>
  <c r="B118" i="13"/>
  <c r="B112" i="13"/>
  <c r="B110" i="13"/>
  <c r="B102" i="13"/>
  <c r="B104" i="13"/>
  <c r="B108" i="13"/>
  <c r="B119" i="13"/>
  <c r="J30" i="89"/>
  <c r="H30" i="89"/>
  <c r="L16" i="81" l="1"/>
  <c r="D14" i="81"/>
  <c r="G22" i="89" l="1"/>
  <c r="G20" i="89"/>
  <c r="G18" i="89"/>
  <c r="G17" i="89"/>
  <c r="M55" i="77" l="1"/>
  <c r="M57" i="77" l="1"/>
  <c r="V55" i="77"/>
  <c r="O55" i="77"/>
  <c r="K55" i="77" l="1"/>
  <c r="O57" i="77"/>
  <c r="V57" i="77" l="1"/>
  <c r="K57" i="77"/>
  <c r="H55" i="77"/>
  <c r="AF55" i="77"/>
  <c r="AF57" i="77" s="1"/>
  <c r="AE57" i="77"/>
  <c r="U55" i="77"/>
  <c r="T55" i="77"/>
  <c r="S55" i="77"/>
  <c r="R55" i="77"/>
  <c r="Q55" i="77"/>
  <c r="P55" i="77"/>
  <c r="N55" i="77"/>
  <c r="L55" i="77"/>
  <c r="J55" i="77"/>
  <c r="I55" i="77"/>
  <c r="G55" i="77"/>
  <c r="F55" i="77"/>
  <c r="S57" i="77" l="1"/>
  <c r="N57" i="77" l="1"/>
  <c r="B62" i="13" l="1"/>
  <c r="B64" i="13"/>
  <c r="B86" i="13"/>
  <c r="B81" i="13"/>
  <c r="B38" i="13" l="1"/>
  <c r="H57" i="77" l="1"/>
  <c r="Q57" i="77" l="1"/>
  <c r="R57" i="77"/>
  <c r="P57" i="77"/>
  <c r="L57" i="77"/>
  <c r="G13" i="76" l="1"/>
  <c r="F56" i="77"/>
  <c r="F57" i="77" s="1"/>
  <c r="G57" i="77"/>
  <c r="I57" i="77"/>
  <c r="T57" i="77"/>
  <c r="B54" i="13" l="1"/>
  <c r="A38" i="82"/>
  <c r="A41" i="82"/>
  <c r="A39" i="82"/>
  <c r="A36" i="82"/>
  <c r="A57" i="6"/>
  <c r="A55" i="6"/>
  <c r="A54" i="6"/>
  <c r="A52" i="6"/>
  <c r="U57" i="77" l="1"/>
  <c r="J57" i="77" l="1"/>
  <c r="B67" i="13" l="1"/>
  <c r="C37" i="83" l="1"/>
  <c r="C38" i="83" s="1"/>
  <c r="E36" i="83"/>
  <c r="AH55" i="77" l="1"/>
  <c r="AG17" i="77"/>
  <c r="C5" i="84" l="1"/>
  <c r="C4" i="84"/>
  <c r="D6" i="84" l="1"/>
  <c r="D38" i="84"/>
  <c r="C38" i="84"/>
  <c r="D39" i="84" l="1"/>
  <c r="C3" i="84" l="1"/>
  <c r="C6" i="84" s="1"/>
  <c r="C39" i="84" s="1"/>
  <c r="B22" i="84" l="1"/>
  <c r="H14" i="76" l="1"/>
  <c r="B18" i="84"/>
  <c r="G29" i="81" l="1"/>
  <c r="C29" i="81"/>
  <c r="C13" i="81"/>
  <c r="G13" i="81"/>
  <c r="B60" i="13" l="1"/>
  <c r="B73" i="13" l="1"/>
  <c r="B76" i="13"/>
  <c r="B75" i="13"/>
  <c r="B74" i="13"/>
  <c r="B35" i="84"/>
  <c r="G14" i="76" l="1"/>
  <c r="G15" i="76" s="1"/>
  <c r="B77" i="13"/>
  <c r="B13" i="84"/>
  <c r="B15" i="84"/>
  <c r="B29" i="84"/>
  <c r="AG15" i="77" l="1"/>
  <c r="AG55" i="77" l="1"/>
  <c r="I29" i="81" l="1"/>
  <c r="E29" i="81" l="1"/>
  <c r="J29" i="81"/>
  <c r="E13" i="81"/>
  <c r="D13" i="81" l="1"/>
  <c r="D15" i="81" l="1"/>
  <c r="B19" i="84"/>
  <c r="M28" i="81" l="1"/>
  <c r="M27" i="81"/>
  <c r="M26" i="81"/>
  <c r="M25" i="81"/>
  <c r="M24" i="81"/>
  <c r="M11" i="81"/>
  <c r="M10" i="81"/>
  <c r="M9" i="81"/>
  <c r="L28" i="81"/>
  <c r="L26" i="81" l="1"/>
  <c r="M29" i="81"/>
  <c r="M13" i="81"/>
  <c r="R20" i="81" l="1"/>
  <c r="P20" i="81"/>
  <c r="P23" i="81"/>
  <c r="T24" i="81" l="1"/>
  <c r="C60" i="74" l="1"/>
  <c r="B60" i="74"/>
  <c r="B56" i="74"/>
  <c r="B29" i="74"/>
  <c r="B32" i="74" s="1"/>
  <c r="D56" i="74" l="1"/>
  <c r="D42" i="74"/>
  <c r="D32" i="74"/>
  <c r="D26" i="74"/>
  <c r="D16" i="74"/>
  <c r="D6" i="74"/>
  <c r="C62" i="74"/>
  <c r="C26" i="74"/>
  <c r="C6" i="74"/>
  <c r="C16" i="74"/>
  <c r="C56" i="74"/>
  <c r="C42" i="74"/>
  <c r="C32" i="74"/>
  <c r="D58" i="74" l="1"/>
  <c r="C27" i="74"/>
  <c r="D27" i="74"/>
  <c r="C58" i="74"/>
  <c r="C59" i="74"/>
  <c r="B16" i="74"/>
  <c r="B26" i="74"/>
  <c r="B6" i="74"/>
  <c r="D59" i="74" l="1"/>
  <c r="B58" i="74"/>
  <c r="B27" i="74"/>
  <c r="P22" i="81"/>
  <c r="P17" i="81"/>
  <c r="U23" i="81" l="1"/>
  <c r="U22" i="81"/>
  <c r="U21" i="81"/>
  <c r="U14" i="81"/>
  <c r="V20" i="81"/>
  <c r="V23" i="81"/>
  <c r="V22" i="81"/>
  <c r="P21" i="81"/>
  <c r="V21" i="81" s="1"/>
  <c r="Q14" i="81"/>
  <c r="P14" i="81"/>
  <c r="R17" i="81"/>
  <c r="S17" i="81"/>
  <c r="S24" i="81" s="1"/>
  <c r="Q17" i="81"/>
  <c r="V14" i="81" l="1"/>
  <c r="Q24" i="81"/>
  <c r="U17" i="81"/>
  <c r="R24" i="81"/>
  <c r="U24" i="81" s="1"/>
  <c r="W21" i="81"/>
  <c r="V17" i="81"/>
  <c r="U20" i="81"/>
  <c r="P24" i="81"/>
  <c r="L24" i="81"/>
  <c r="W14" i="81" l="1"/>
  <c r="F29" i="81"/>
  <c r="L25" i="81"/>
  <c r="L11" i="81"/>
  <c r="L10" i="81"/>
  <c r="P25" i="81"/>
  <c r="V24" i="81"/>
  <c r="I13" i="81"/>
  <c r="F13" i="81" l="1"/>
  <c r="J13" i="81"/>
  <c r="K29" i="81"/>
  <c r="L27" i="81"/>
  <c r="K13" i="81"/>
  <c r="K15" i="81" s="1"/>
  <c r="L9" i="81"/>
  <c r="V25" i="81"/>
  <c r="F15" i="81" l="1"/>
  <c r="L13" i="81"/>
  <c r="L29" i="81"/>
  <c r="B120" i="13"/>
  <c r="D29" i="81"/>
  <c r="H29" i="81"/>
  <c r="B117" i="13" l="1"/>
  <c r="L17" i="81"/>
  <c r="L15" i="81"/>
  <c r="L32" i="81"/>
  <c r="B121" i="13"/>
  <c r="B111" i="13"/>
  <c r="B107" i="13"/>
  <c r="B16" i="84" l="1"/>
  <c r="H13" i="81"/>
  <c r="G17" i="80"/>
  <c r="F17" i="80"/>
  <c r="E17" i="80"/>
  <c r="J16" i="80"/>
  <c r="H16" i="80"/>
  <c r="J15" i="80"/>
  <c r="H15" i="80"/>
  <c r="J14" i="80"/>
  <c r="H14" i="80"/>
  <c r="C13" i="76" l="1"/>
  <c r="J17" i="80"/>
  <c r="K14" i="80"/>
  <c r="K15" i="80"/>
  <c r="K16" i="80"/>
  <c r="H13" i="76" l="1"/>
  <c r="H15" i="76" s="1"/>
  <c r="D13" i="76"/>
  <c r="I62" i="71"/>
  <c r="I31" i="78"/>
  <c r="G29" i="78" l="1"/>
  <c r="F29" i="78"/>
  <c r="E29" i="78"/>
  <c r="D29" i="78"/>
  <c r="J28" i="78"/>
  <c r="H28" i="78"/>
  <c r="J27" i="78"/>
  <c r="H27" i="78"/>
  <c r="J26" i="78"/>
  <c r="H26" i="78"/>
  <c r="H25" i="78"/>
  <c r="K25" i="78" s="1"/>
  <c r="H24" i="78"/>
  <c r="K24" i="78" s="1"/>
  <c r="H23" i="78"/>
  <c r="K23" i="78" s="1"/>
  <c r="H22" i="78"/>
  <c r="G60" i="71"/>
  <c r="F60" i="71"/>
  <c r="E60" i="71"/>
  <c r="J59" i="71"/>
  <c r="H59" i="71"/>
  <c r="J58" i="71"/>
  <c r="H58" i="71"/>
  <c r="J57" i="71"/>
  <c r="H57" i="71"/>
  <c r="G45" i="71"/>
  <c r="F45" i="71"/>
  <c r="E45" i="71"/>
  <c r="J44" i="71"/>
  <c r="H44" i="71"/>
  <c r="J43" i="71"/>
  <c r="H43" i="71"/>
  <c r="J42" i="71"/>
  <c r="H42" i="71"/>
  <c r="H40" i="71"/>
  <c r="K40" i="71" s="1"/>
  <c r="G15" i="78"/>
  <c r="F15" i="78"/>
  <c r="E15" i="78"/>
  <c r="D15" i="78"/>
  <c r="J14" i="78"/>
  <c r="H14" i="78"/>
  <c r="J13" i="78"/>
  <c r="H13" i="78"/>
  <c r="J12" i="78"/>
  <c r="H12" i="78"/>
  <c r="H11" i="78"/>
  <c r="K11" i="78" s="1"/>
  <c r="H10" i="78"/>
  <c r="K10" i="78" s="1"/>
  <c r="H9" i="78"/>
  <c r="K9" i="78" s="1"/>
  <c r="H8" i="78"/>
  <c r="K42" i="71" l="1"/>
  <c r="K44" i="71"/>
  <c r="K27" i="78"/>
  <c r="J15" i="78"/>
  <c r="J34" i="78" s="1"/>
  <c r="K43" i="71"/>
  <c r="J29" i="78"/>
  <c r="J33" i="78" s="1"/>
  <c r="D31" i="78"/>
  <c r="J45" i="71"/>
  <c r="K57" i="71"/>
  <c r="K59" i="71"/>
  <c r="D12" i="80"/>
  <c r="H12" i="80" s="1"/>
  <c r="K12" i="80" s="1"/>
  <c r="D55" i="71"/>
  <c r="H55" i="71" s="1"/>
  <c r="K55" i="71" s="1"/>
  <c r="K13" i="78"/>
  <c r="E31" i="78"/>
  <c r="J60" i="71"/>
  <c r="K26" i="78"/>
  <c r="K28" i="78"/>
  <c r="F31" i="78"/>
  <c r="H15" i="78"/>
  <c r="K12" i="78"/>
  <c r="K14" i="78"/>
  <c r="K58" i="71"/>
  <c r="G31" i="78"/>
  <c r="D41" i="71"/>
  <c r="H41" i="71" s="1"/>
  <c r="K41" i="71" s="1"/>
  <c r="D39" i="71"/>
  <c r="H39" i="71" s="1"/>
  <c r="K39" i="71" s="1"/>
  <c r="D11" i="80"/>
  <c r="H11" i="80" s="1"/>
  <c r="K11" i="80" s="1"/>
  <c r="D54" i="71"/>
  <c r="H54" i="71" s="1"/>
  <c r="K54" i="71" s="1"/>
  <c r="D13" i="80"/>
  <c r="D56" i="71"/>
  <c r="H29" i="78"/>
  <c r="K22" i="78"/>
  <c r="K8" i="78"/>
  <c r="J31" i="78" l="1"/>
  <c r="H31" i="78"/>
  <c r="J64" i="71"/>
  <c r="K29" i="78"/>
  <c r="D10" i="80"/>
  <c r="H10" i="80" s="1"/>
  <c r="K10" i="80" s="1"/>
  <c r="D53" i="71"/>
  <c r="H53" i="71" s="1"/>
  <c r="K53" i="71" s="1"/>
  <c r="J35" i="78"/>
  <c r="K15" i="78"/>
  <c r="D38" i="71"/>
  <c r="H13" i="80"/>
  <c r="H56" i="71"/>
  <c r="K31" i="78" l="1"/>
  <c r="D60" i="71"/>
  <c r="D17" i="80"/>
  <c r="H38" i="71"/>
  <c r="D45" i="71"/>
  <c r="K56" i="71"/>
  <c r="K60" i="71" s="1"/>
  <c r="H60" i="71"/>
  <c r="K13" i="80"/>
  <c r="K17" i="80" s="1"/>
  <c r="H17" i="80"/>
  <c r="K38" i="71" l="1"/>
  <c r="K45" i="71" s="1"/>
  <c r="H45" i="71"/>
  <c r="G31" i="71" l="1"/>
  <c r="G62" i="71" s="1"/>
  <c r="F31" i="71"/>
  <c r="F62" i="71" s="1"/>
  <c r="E31" i="71"/>
  <c r="E62" i="71" s="1"/>
  <c r="D31" i="71"/>
  <c r="D62" i="71" s="1"/>
  <c r="J30" i="71"/>
  <c r="H30" i="71"/>
  <c r="J29" i="71"/>
  <c r="H29" i="71"/>
  <c r="J28" i="71"/>
  <c r="H28" i="71"/>
  <c r="H27" i="71"/>
  <c r="K27" i="71" s="1"/>
  <c r="H26" i="71"/>
  <c r="K26" i="71" s="1"/>
  <c r="H25" i="71"/>
  <c r="K25" i="71" s="1"/>
  <c r="H24" i="71"/>
  <c r="K29" i="71" l="1"/>
  <c r="K28" i="71"/>
  <c r="K30" i="71"/>
  <c r="J31" i="71"/>
  <c r="H31" i="71"/>
  <c r="H62" i="71" s="1"/>
  <c r="K24" i="71"/>
  <c r="K31" i="71" l="1"/>
  <c r="K62" i="71" s="1"/>
  <c r="J65" i="71"/>
  <c r="J66" i="71" s="1"/>
  <c r="J62" i="71"/>
  <c r="E55" i="77" l="1"/>
  <c r="E57" i="77" s="1"/>
  <c r="AG56" i="77" l="1"/>
  <c r="B55" i="77"/>
  <c r="G30" i="3" l="1"/>
  <c r="B12" i="77"/>
  <c r="B57" i="77" s="1"/>
  <c r="B106" i="13" l="1"/>
  <c r="B65" i="13"/>
  <c r="B95" i="13"/>
  <c r="B93" i="13" s="1"/>
  <c r="B97" i="13" s="1"/>
  <c r="L33" i="81"/>
  <c r="B113" i="13"/>
  <c r="B116" i="13"/>
  <c r="B56" i="13"/>
  <c r="B55" i="13"/>
  <c r="L30" i="81"/>
  <c r="L31" i="81" s="1"/>
  <c r="F30" i="81"/>
  <c r="F31" i="81" s="1"/>
  <c r="K30" i="81"/>
  <c r="K31" i="81" s="1"/>
  <c r="B85" i="13"/>
  <c r="B127" i="13"/>
  <c r="B115" i="13"/>
  <c r="B24" i="84"/>
  <c r="B32" i="84"/>
  <c r="B14" i="84"/>
  <c r="B25" i="84"/>
  <c r="B12" i="84"/>
  <c r="C32" i="13"/>
  <c r="B88" i="13" l="1"/>
  <c r="B30" i="84"/>
  <c r="G20" i="3"/>
  <c r="B138" i="13"/>
  <c r="B66" i="13"/>
  <c r="L34" i="81"/>
  <c r="B27" i="84"/>
  <c r="B122" i="13"/>
  <c r="B23" i="84"/>
  <c r="B33" i="84"/>
  <c r="B5" i="84"/>
  <c r="B31" i="84"/>
  <c r="B4" i="84"/>
  <c r="B36" i="84"/>
  <c r="B3" i="84"/>
  <c r="B34" i="84"/>
  <c r="B20" i="84"/>
  <c r="B9" i="84"/>
  <c r="B21" i="84"/>
  <c r="B10" i="84"/>
  <c r="B28" i="84"/>
  <c r="B11" i="84"/>
  <c r="B17" i="84"/>
  <c r="E13" i="4"/>
  <c r="B57" i="13" l="1"/>
  <c r="B69" i="13" s="1"/>
  <c r="B38" i="84"/>
  <c r="D10" i="77"/>
  <c r="B2" i="84"/>
  <c r="B6" i="84" s="1"/>
  <c r="G16" i="71"/>
  <c r="H15" i="71"/>
  <c r="H14" i="71"/>
  <c r="H13" i="71"/>
  <c r="H12" i="71"/>
  <c r="H11" i="71"/>
  <c r="H10" i="71"/>
  <c r="H9" i="71"/>
  <c r="E16" i="71"/>
  <c r="D16" i="71"/>
  <c r="J15" i="71"/>
  <c r="J14" i="71"/>
  <c r="J13" i="71"/>
  <c r="F16" i="71"/>
  <c r="H17" i="82" l="1"/>
  <c r="I28" i="82" s="1"/>
  <c r="D11" i="77"/>
  <c r="C11" i="77" s="1"/>
  <c r="D13" i="4"/>
  <c r="B39" i="84"/>
  <c r="K14" i="71"/>
  <c r="K15" i="71"/>
  <c r="K11" i="71"/>
  <c r="K13" i="71"/>
  <c r="K12" i="71"/>
  <c r="K9" i="71"/>
  <c r="D12" i="77" l="1"/>
  <c r="C12" i="77"/>
  <c r="B32" i="13"/>
  <c r="J16" i="71"/>
  <c r="K10" i="71"/>
  <c r="K16" i="71" s="1"/>
  <c r="H16" i="71"/>
  <c r="D55" i="77" l="1"/>
  <c r="D57" i="77" s="1"/>
  <c r="C55" i="77"/>
  <c r="C57" i="77" s="1"/>
  <c r="E32" i="4" l="1"/>
  <c r="D32" i="4"/>
  <c r="C11" i="36"/>
  <c r="D15" i="36"/>
  <c r="C14" i="36"/>
  <c r="C12" i="36"/>
  <c r="C10" i="36"/>
  <c r="C9" i="36"/>
  <c r="F30" i="3" l="1"/>
  <c r="C15" i="36"/>
  <c r="E20" i="4"/>
  <c r="E18" i="10"/>
  <c r="D18" i="10"/>
  <c r="B18" i="10"/>
  <c r="C18" i="10" l="1"/>
  <c r="E22" i="4"/>
  <c r="E24" i="4" s="1"/>
  <c r="E26" i="4" s="1"/>
  <c r="E29" i="4" s="1"/>
  <c r="E38" i="4" s="1"/>
  <c r="D20" i="4" l="1"/>
  <c r="E45" i="4"/>
  <c r="E41" i="4"/>
  <c r="E48" i="4" s="1"/>
  <c r="E34" i="4"/>
  <c r="D22" i="4" l="1"/>
  <c r="E39" i="4"/>
  <c r="D24" i="4" l="1"/>
  <c r="D26" i="4" s="1"/>
  <c r="D29" i="4" s="1"/>
  <c r="D38" i="4" s="1"/>
  <c r="D45" i="4" s="1"/>
  <c r="E46" i="4"/>
  <c r="E42" i="4"/>
  <c r="E49" i="4" s="1"/>
  <c r="D34" i="4" l="1"/>
  <c r="B11" i="13" s="1"/>
  <c r="B21" i="13" s="1"/>
  <c r="D41" i="4"/>
  <c r="D48" i="4" s="1"/>
  <c r="F20" i="3" l="1"/>
  <c r="F31" i="3" s="1"/>
  <c r="D39" i="4"/>
  <c r="D46" i="4" s="1"/>
  <c r="D43" i="6" l="1"/>
  <c r="D42" i="4"/>
  <c r="D4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SGBS</author>
  </authors>
  <commentList>
    <comment ref="E14" authorId="0" shapeId="0" xr:uid="{00000000-0006-0000-0200-000001000000}">
      <text>
        <r>
          <rPr>
            <b/>
            <sz val="9"/>
            <color indexed="81"/>
            <rFont val="Tahoma"/>
            <family val="2"/>
          </rPr>
          <t>SGBS:</t>
        </r>
        <r>
          <rPr>
            <sz val="9"/>
            <color indexed="81"/>
            <rFont val="Tahoma"/>
            <family val="2"/>
          </rPr>
          <t xml:space="preserve">
Op bal 396000 minus 234000, for FY 2022-2023 only 724000, remaining op bal is audit fees - 29500</t>
        </r>
      </text>
    </comment>
  </commentList>
</comments>
</file>

<file path=xl/sharedStrings.xml><?xml version="1.0" encoding="utf-8"?>
<sst xmlns="http://schemas.openxmlformats.org/spreadsheetml/2006/main" count="2904" uniqueCount="1270">
  <si>
    <t>Other Ann / Gn</t>
  </si>
  <si>
    <t>Listing Clause</t>
  </si>
  <si>
    <t>Ref. No.</t>
  </si>
  <si>
    <t>Name of the Company</t>
  </si>
  <si>
    <t xml:space="preserve"> Note No.</t>
  </si>
  <si>
    <t>As at 31 March, 20X2</t>
  </si>
  <si>
    <t>As at 31 March, 20X1</t>
  </si>
  <si>
    <t>`</t>
  </si>
  <si>
    <t>A</t>
  </si>
  <si>
    <t>EQUITY AND LIABILITIES</t>
  </si>
  <si>
    <t>Shareholders’ funds</t>
  </si>
  <si>
    <t xml:space="preserve">(a) Share capital </t>
  </si>
  <si>
    <t>Share application money pending allotment</t>
  </si>
  <si>
    <t>Non-current liabilities</t>
  </si>
  <si>
    <t>Current liabilities</t>
  </si>
  <si>
    <t>TOTAL</t>
  </si>
  <si>
    <t>B</t>
  </si>
  <si>
    <t>ASSETS</t>
  </si>
  <si>
    <t>Non-current assets</t>
  </si>
  <si>
    <t>Current assets</t>
  </si>
  <si>
    <t xml:space="preserve">For and on behalf of the Board of Directors </t>
  </si>
  <si>
    <t>Chartered Accountants</t>
  </si>
  <si>
    <t xml:space="preserve">                      </t>
  </si>
  <si>
    <t>XXX</t>
  </si>
  <si>
    <t xml:space="preserve">Partner
 </t>
  </si>
  <si>
    <t xml:space="preserve"> </t>
  </si>
  <si>
    <t>Particulars</t>
  </si>
  <si>
    <t>Note No.</t>
  </si>
  <si>
    <t>For the year ended 
31 March, 20X1</t>
  </si>
  <si>
    <t>CONTINUING OPERATIONS</t>
  </si>
  <si>
    <t>Other income</t>
  </si>
  <si>
    <t>Total revenue (1+2)</t>
  </si>
  <si>
    <t>Expenses</t>
  </si>
  <si>
    <t>Exceptional items</t>
  </si>
  <si>
    <t>Tax expense:</t>
  </si>
  <si>
    <t>DISCONTINUING OPERATIONS</t>
  </si>
  <si>
    <t>C</t>
  </si>
  <si>
    <t>TOTAL OPERATIONS</t>
  </si>
  <si>
    <t>15.i</t>
  </si>
  <si>
    <t>(a) Basic</t>
  </si>
  <si>
    <t>(b) Diluted</t>
  </si>
  <si>
    <t>AS 20.48.i</t>
  </si>
  <si>
    <t>15.ii</t>
  </si>
  <si>
    <t>Total</t>
  </si>
  <si>
    <t>Finance costs</t>
  </si>
  <si>
    <t>Depreciation and amortisation expense</t>
  </si>
  <si>
    <t>A. Cash flow from operating activities</t>
  </si>
  <si>
    <t>Provision for warranty</t>
  </si>
  <si>
    <t>Changes in working capital:</t>
  </si>
  <si>
    <t>Trade receivables</t>
  </si>
  <si>
    <t>Trade payables</t>
  </si>
  <si>
    <t>Cash generated from operations</t>
  </si>
  <si>
    <t>Net cash flow from / (used in) operating activities (A)</t>
  </si>
  <si>
    <t>B. Cash flow from investing activities</t>
  </si>
  <si>
    <t>C. Cash flow from financing activities</t>
  </si>
  <si>
    <t>Net increase / (decrease) in working capital borrowings</t>
  </si>
  <si>
    <t>Net cash flow from / (used in) financing activities (C)</t>
  </si>
  <si>
    <t>Cash and cash equivalents at the beginning of the year</t>
  </si>
  <si>
    <t>Cash and cash equivalents at the end of the year</t>
  </si>
  <si>
    <t>Notes:</t>
  </si>
  <si>
    <t>Notes forming part of the financial statements</t>
  </si>
  <si>
    <t>Ref No.</t>
  </si>
  <si>
    <t>Sale of goods</t>
  </si>
  <si>
    <t>Intangible assets</t>
  </si>
  <si>
    <t>Defined contribution plans</t>
  </si>
  <si>
    <t>Defined benefit plans</t>
  </si>
  <si>
    <t>Earnings per share</t>
  </si>
  <si>
    <t>(a) Authorised</t>
  </si>
  <si>
    <t>(c) Subscribed and fully paid up</t>
  </si>
  <si>
    <t>(i) Reconciliation of the number of shares and amount outstanding at the beginning and at the end of the reporting period:</t>
  </si>
  <si>
    <t>Opening Balance</t>
  </si>
  <si>
    <t>Fresh issue</t>
  </si>
  <si>
    <t>Closing Balance</t>
  </si>
  <si>
    <t>Equity shares with voting rights</t>
  </si>
  <si>
    <t>- Number of shares</t>
  </si>
  <si>
    <t xml:space="preserve">% holding in that class of shares </t>
  </si>
  <si>
    <t xml:space="preserve">Particulars </t>
  </si>
  <si>
    <t>Opening balance</t>
  </si>
  <si>
    <t>Others (give details)</t>
  </si>
  <si>
    <t>Others</t>
  </si>
  <si>
    <t>Interest</t>
  </si>
  <si>
    <t>Tangible assets</t>
  </si>
  <si>
    <t>Additions</t>
  </si>
  <si>
    <t>Amount</t>
  </si>
  <si>
    <t>Year ended 
31 March, 20X2</t>
  </si>
  <si>
    <t>(a) Cash on hand</t>
  </si>
  <si>
    <t>For the year ended 31 March, 20X2</t>
  </si>
  <si>
    <t>For the year ended 31 March, 20X1</t>
  </si>
  <si>
    <t>Note</t>
  </si>
  <si>
    <t>(i)</t>
  </si>
  <si>
    <t>(ii)</t>
  </si>
  <si>
    <t>PL 5(i)(l)</t>
  </si>
  <si>
    <t>GN 10.4</t>
  </si>
  <si>
    <t>Prior period income (give details)</t>
  </si>
  <si>
    <t>Prior period expenses (give details)</t>
  </si>
  <si>
    <t>GN 9.5.5</t>
  </si>
  <si>
    <t>Note 26 Finance costs</t>
  </si>
  <si>
    <t>(a) Interest expense on:</t>
  </si>
  <si>
    <t>(i) Borrowings</t>
  </si>
  <si>
    <t>(ii) Trade payables</t>
  </si>
  <si>
    <t>(iii) Others</t>
  </si>
  <si>
    <t>GN 9.8.1.3</t>
  </si>
  <si>
    <t>- Interest on delayed / deferred payment of income tax</t>
  </si>
  <si>
    <t>- Others (give details)</t>
  </si>
  <si>
    <t>PL 3 (b)
GN 9.5.5 B</t>
  </si>
  <si>
    <t>(b) Other borrowing costs @</t>
  </si>
  <si>
    <t>PL 3 (c)
GN 9.5.5 C
AS 16.4.e</t>
  </si>
  <si>
    <t>GN 9.5.7</t>
  </si>
  <si>
    <t>Note 27 Other expenses</t>
  </si>
  <si>
    <t>Travelling and conveyance *</t>
  </si>
  <si>
    <t>Printing and stationery*</t>
  </si>
  <si>
    <t>Legal and professional *</t>
  </si>
  <si>
    <t>PL 5(i)(j)
GN 10.3</t>
  </si>
  <si>
    <t># In case of net credit the amount should be included under Other operating revenue in Note 22 Revenue from operations or under Other income in Note 23, as applicable.</t>
  </si>
  <si>
    <t>Reimbursement of expenses</t>
  </si>
  <si>
    <t>(ii) Details of Prior period items (net)</t>
  </si>
  <si>
    <t>PL5(i)(c)</t>
  </si>
  <si>
    <t>GN 9.6</t>
  </si>
  <si>
    <t>Note 28.a Exceptional items @</t>
  </si>
  <si>
    <t>PL 5.i.k</t>
  </si>
  <si>
    <t>AS 5.12
AS 5.13
AS 5.14</t>
  </si>
  <si>
    <t>(Give details)</t>
  </si>
  <si>
    <t xml:space="preserve">Total </t>
  </si>
  <si>
    <t>GN 9.7</t>
  </si>
  <si>
    <t>Note 28.b Extraordinary items #</t>
  </si>
  <si>
    <t xml:space="preserve">AS 5.4.2
AS 5.8
</t>
  </si>
  <si>
    <t>AS 12.20</t>
  </si>
  <si>
    <t>Government grants that have become refundable</t>
  </si>
  <si>
    <t>GN 6.13</t>
  </si>
  <si>
    <t>Note 29 Additional information to the financial statements</t>
  </si>
  <si>
    <t>Monies received against share warrants</t>
  </si>
  <si>
    <t>BS 6.A.h
GN 8.1.3</t>
  </si>
  <si>
    <t>Contingent liabilities and commitments (to the extent not provided for)</t>
  </si>
  <si>
    <t>BS 6.T.i</t>
  </si>
  <si>
    <t>Contingent liabilities</t>
  </si>
  <si>
    <t>AS 29.68
GN 8.8.7.1</t>
  </si>
  <si>
    <t>GN 8.8.7.2</t>
  </si>
  <si>
    <t>(b) Guarantees @ (give details)</t>
  </si>
  <si>
    <t>AS 29.71</t>
  </si>
  <si>
    <t>AS 29.72</t>
  </si>
  <si>
    <t>BS 6.T.ii
GN 8.8.7.3</t>
  </si>
  <si>
    <t>Commitments #</t>
  </si>
  <si>
    <t>(a) Estimated amount of contracts remaining to be executed on capital account and not provided for</t>
  </si>
  <si>
    <t>AS 26.94.d</t>
  </si>
  <si>
    <t>(b) Uncalled liability on shares and other investments partly paid</t>
  </si>
  <si>
    <t>GN 8.8.7.4
GN 8.8.7.6</t>
  </si>
  <si>
    <t>(c) Other commitments (specify nature)</t>
  </si>
  <si>
    <t>BS 6.V
GN 8.8.7.8</t>
  </si>
  <si>
    <t>GN 6.8
GN 8.4.2
GN 8.4.3</t>
  </si>
  <si>
    <t>Dues to Micro and Small Enterprises have been determined to the extent such parties have been identified on the basis of information collected by the Management. This has been relied upon by the auditors.</t>
  </si>
  <si>
    <t>(vi) The amount of further interest due and payable even in the succeeding year, until such date when the interest dues as above are actually paid</t>
  </si>
  <si>
    <t>GN 6.9</t>
  </si>
  <si>
    <t>Loans and advances in the nature of loans given to subsidiaries, associates and others and investment in shares of the Company by such parties:</t>
  </si>
  <si>
    <t>Name of the party</t>
  </si>
  <si>
    <t xml:space="preserve"> Relationship</t>
  </si>
  <si>
    <t>Maximum balance outstanding during the year</t>
  </si>
  <si>
    <t>(i) Outstanding forward exchange contracts entered into by the Company as on 31 March, 20X2</t>
  </si>
  <si>
    <t>Currency</t>
  </si>
  <si>
    <t>Buy / Sell</t>
  </si>
  <si>
    <t>Cross currency</t>
  </si>
  <si>
    <t>AUD</t>
  </si>
  <si>
    <t>Buy</t>
  </si>
  <si>
    <t>Rupees</t>
  </si>
  <si>
    <t>(AAA)</t>
  </si>
  <si>
    <t>USD</t>
  </si>
  <si>
    <t>YYY</t>
  </si>
  <si>
    <t>Sell</t>
  </si>
  <si>
    <t>(ZZZ)</t>
  </si>
  <si>
    <t>Note: Figures in brackets relate to the previous year</t>
  </si>
  <si>
    <t>(ii) Outstanding option contracts entered into by the Company as on 31 March, 20X2</t>
  </si>
  <si>
    <t xml:space="preserve">(b) Interest rate swaps to hedge against fluctuations in interest rate changes: No. of contracts: Nil
(As at 31 March, 20X1: Nil )
</t>
  </si>
  <si>
    <t>(c) Currency swaps (other than forward exchange contracts stated above) to hedge against fluctuations in changes in exchange rate. No. of contracts: Nil (As at 31 March, 20X1: Nil)</t>
  </si>
  <si>
    <t>II. The year-end foreign currency exposures that have not been hedged by a derivative instrument or otherwise are given below:</t>
  </si>
  <si>
    <t xml:space="preserve"> As at 31 March, 20X2</t>
  </si>
  <si>
    <t>Receivable/</t>
  </si>
  <si>
    <t>Receivable/ (Payable)</t>
  </si>
  <si>
    <t>(Payable)</t>
  </si>
  <si>
    <t>in Foreign currency</t>
  </si>
  <si>
    <t>Total amount received from issue of fully convertible debentures</t>
  </si>
  <si>
    <t xml:space="preserve">Total amount received from issue of warrants </t>
  </si>
  <si>
    <t>Purpose for which the money received has been utilized :</t>
  </si>
  <si>
    <t xml:space="preserve">a. Capital expenditure </t>
  </si>
  <si>
    <t xml:space="preserve">b. Working capital </t>
  </si>
  <si>
    <t>Building</t>
  </si>
  <si>
    <t>Plant and machinery</t>
  </si>
  <si>
    <t>Office equipment</t>
  </si>
  <si>
    <t>Vehicles</t>
  </si>
  <si>
    <t>PL 5(viii)(a)
GN 11.1</t>
  </si>
  <si>
    <t>29.10</t>
  </si>
  <si>
    <t>Raw materials</t>
  </si>
  <si>
    <t>Components</t>
  </si>
  <si>
    <t>Spare parts</t>
  </si>
  <si>
    <t>Total Components and spare parts</t>
  </si>
  <si>
    <t>Capital goods</t>
  </si>
  <si>
    <t>PL 5 (viii)(b)
GN 11.2</t>
  </si>
  <si>
    <t>Expenditure in foreign currency #:</t>
  </si>
  <si>
    <t>Royalty</t>
  </si>
  <si>
    <t>Know-how</t>
  </si>
  <si>
    <t>Professional and consultation fees</t>
  </si>
  <si>
    <t>Other matters</t>
  </si>
  <si>
    <t>For the year ended 
31 March, 20X2</t>
  </si>
  <si>
    <t>%</t>
  </si>
  <si>
    <t>PL 5(viii)(c)
GN 11.3</t>
  </si>
  <si>
    <t>Details of consumption of imported and indigenous items *</t>
  </si>
  <si>
    <t>Imported</t>
  </si>
  <si>
    <t>Indigenous</t>
  </si>
  <si>
    <t>Earnings in foreign exchange @@:</t>
  </si>
  <si>
    <t>Royalty, know-how, professional and consultation fees</t>
  </si>
  <si>
    <t>Interest and dividend</t>
  </si>
  <si>
    <t>Other income, indicating the nature thereof.</t>
  </si>
  <si>
    <t>Amounts remitted in foreign currency during the year on account of dividend ##</t>
  </si>
  <si>
    <t>Amount of dividend remitted in foreign currency</t>
  </si>
  <si>
    <t>Total number of non-resident shareholders (to whom the dividends were remitted in foreign currency)</t>
  </si>
  <si>
    <t>Total number of shares held by them on which dividend was due</t>
  </si>
  <si>
    <t>Year to which the dividend relates</t>
  </si>
  <si>
    <t>Details of research and development expenditure recognised as an expense</t>
  </si>
  <si>
    <t xml:space="preserve">Materials </t>
  </si>
  <si>
    <t xml:space="preserve">Professional fees </t>
  </si>
  <si>
    <t xml:space="preserve">Consumables </t>
  </si>
  <si>
    <t xml:space="preserve">Interest </t>
  </si>
  <si>
    <t xml:space="preserve">Travelling expenses </t>
  </si>
  <si>
    <t xml:space="preserve">Rent </t>
  </si>
  <si>
    <t xml:space="preserve">Depreciation </t>
  </si>
  <si>
    <t>Note 30 Disclosures under Accounting Standards</t>
  </si>
  <si>
    <t>AS 7</t>
  </si>
  <si>
    <t>Details of contract revenue and costs</t>
  </si>
  <si>
    <t>AS 7.38.a</t>
  </si>
  <si>
    <t>Contract revenue recognised during the year</t>
  </si>
  <si>
    <t>AS 7.39.a</t>
  </si>
  <si>
    <t>AS 7.39.b</t>
  </si>
  <si>
    <t xml:space="preserve">Advances received for contracts in progress </t>
  </si>
  <si>
    <t>AS 7.39.c</t>
  </si>
  <si>
    <t xml:space="preserve">Retention money for contracts in progress </t>
  </si>
  <si>
    <t>AS 12.23.ii</t>
  </si>
  <si>
    <t>30.2.a</t>
  </si>
  <si>
    <t>30.2.b</t>
  </si>
  <si>
    <t xml:space="preserve">The Company has received certain equipments and facilities free of cost from ____ towards carrying on research and development. These assets are required to be returned on completion of the specified activity. </t>
  </si>
  <si>
    <t>AS 14.43</t>
  </si>
  <si>
    <r>
      <t xml:space="preserve">Pursuant to the Scheme, the Company allotted ____ equity shares of </t>
    </r>
    <r>
      <rPr>
        <sz val="10"/>
        <rFont val="Rupee Foradian"/>
        <family val="2"/>
      </rPr>
      <t>`</t>
    </r>
    <r>
      <rPr>
        <sz val="10"/>
        <rFont val="Arial"/>
        <family val="2"/>
      </rPr>
      <t xml:space="preserve"> __/- each (__% of shares in the Transferor Company and ___% of shares in the Transferee Company) to the minority shareholders in the Transferor Companies.</t>
    </r>
  </si>
  <si>
    <t>AS 14.45</t>
  </si>
  <si>
    <t>Value of assets and liabilities acquired:</t>
  </si>
  <si>
    <t>aaa</t>
  </si>
  <si>
    <t>bbb</t>
  </si>
  <si>
    <t>Secured loans</t>
  </si>
  <si>
    <t>ccc</t>
  </si>
  <si>
    <t>Unsecured loans</t>
  </si>
  <si>
    <t>ddd</t>
  </si>
  <si>
    <t xml:space="preserve">Less: </t>
  </si>
  <si>
    <t>Carrying value of investments in the Transferor Companies</t>
  </si>
  <si>
    <t>eee</t>
  </si>
  <si>
    <t>Value of shares of the Company issued to the minority shareholders</t>
  </si>
  <si>
    <t>Difference considered as goodwill / capital reserve</t>
  </si>
  <si>
    <t>Employee benefit plans</t>
  </si>
  <si>
    <t>AS 15.47</t>
  </si>
  <si>
    <t>30.4.a</t>
  </si>
  <si>
    <t>30.4.b</t>
  </si>
  <si>
    <t>i. Gratuity</t>
  </si>
  <si>
    <t>Year ended 31 March, 20X2</t>
  </si>
  <si>
    <t>Year ended 31 March, 20X1</t>
  </si>
  <si>
    <t>Gratuity</t>
  </si>
  <si>
    <t>AS 15.120.g</t>
  </si>
  <si>
    <t>Components of employer expense</t>
  </si>
  <si>
    <t>Current service cost</t>
  </si>
  <si>
    <t>Interest cost</t>
  </si>
  <si>
    <t>Expected return on plan assets</t>
  </si>
  <si>
    <t>Past service cost</t>
  </si>
  <si>
    <t>Actuarial losses/(gains)</t>
  </si>
  <si>
    <t>Total expense recognised in the Statement of Profit and Loss</t>
  </si>
  <si>
    <t>Actual benefit payments</t>
  </si>
  <si>
    <t>Actual contributions</t>
  </si>
  <si>
    <t>AS 15.120.f</t>
  </si>
  <si>
    <t>AS 15.120.d</t>
  </si>
  <si>
    <t>Present value of defined benefit obligation</t>
  </si>
  <si>
    <t>Fair value of plan assets</t>
  </si>
  <si>
    <t>Unrecognised past service costs</t>
  </si>
  <si>
    <t>AS 15.120.c</t>
  </si>
  <si>
    <t xml:space="preserve">Current service cost </t>
  </si>
  <si>
    <t xml:space="preserve">Interest cost </t>
  </si>
  <si>
    <t>Plan amendments</t>
  </si>
  <si>
    <t>Acquisitions</t>
  </si>
  <si>
    <t>Benefits paid</t>
  </si>
  <si>
    <t>AS 15.120.e</t>
  </si>
  <si>
    <t>Acquisition adjustment</t>
  </si>
  <si>
    <t>Actual company contributions</t>
  </si>
  <si>
    <t>AS 15.120.k</t>
  </si>
  <si>
    <t>Actual return on plan assets</t>
  </si>
  <si>
    <t>AS 15.120.h</t>
  </si>
  <si>
    <t>Composition of the plan assets is as follows:</t>
  </si>
  <si>
    <t>Government bonds</t>
  </si>
  <si>
    <t>PSU bonds</t>
  </si>
  <si>
    <t>Equity mutual funds</t>
  </si>
  <si>
    <t>AS 15.120.l</t>
  </si>
  <si>
    <t>Actuarial assumptions</t>
  </si>
  <si>
    <t>Discount rate</t>
  </si>
  <si>
    <t>AS 15.120.j</t>
  </si>
  <si>
    <t>Salary escalation</t>
  </si>
  <si>
    <t>Medical cost inflation</t>
  </si>
  <si>
    <t>Mortality tables</t>
  </si>
  <si>
    <t>Performance percentage considered</t>
  </si>
  <si>
    <t>AS 15.120.o</t>
  </si>
  <si>
    <t>Estimate of amount of contribution in the immediate next year</t>
  </si>
  <si>
    <t>Effect of a 1% change in health care cost</t>
  </si>
  <si>
    <t xml:space="preserve"> 31 March, 20X2</t>
  </si>
  <si>
    <t xml:space="preserve"> 31 March, 20X1</t>
  </si>
  <si>
    <t>AS 15.120.m</t>
  </si>
  <si>
    <t>Increase by 1%</t>
  </si>
  <si>
    <t>Decrease by 1%</t>
  </si>
  <si>
    <t>AS 15.120.n</t>
  </si>
  <si>
    <t xml:space="preserve">Experience adjustments </t>
  </si>
  <si>
    <t>20X2-20X1</t>
  </si>
  <si>
    <t>20X1- 20X0</t>
  </si>
  <si>
    <t>2nd prior year</t>
  </si>
  <si>
    <t>3rd prior year</t>
  </si>
  <si>
    <t>Present value of DBO</t>
  </si>
  <si>
    <t>AS 16.23.b</t>
  </si>
  <si>
    <t>Borrowing costs capitalised during the year</t>
  </si>
  <si>
    <t>Segment information</t>
  </si>
  <si>
    <t>AS 17.58</t>
  </si>
  <si>
    <t>Eliminations</t>
  </si>
  <si>
    <t>AS 17.40.a</t>
  </si>
  <si>
    <t>Revenue</t>
  </si>
  <si>
    <t>(XXX)</t>
  </si>
  <si>
    <t>Inter-segment revenue</t>
  </si>
  <si>
    <t>AS 17.40.b</t>
  </si>
  <si>
    <t>Segment result</t>
  </si>
  <si>
    <t>AS 17.46</t>
  </si>
  <si>
    <t xml:space="preserve">Unallocable expenses (net) </t>
  </si>
  <si>
    <t xml:space="preserve">Operating income </t>
  </si>
  <si>
    <t xml:space="preserve">Profit before taxes </t>
  </si>
  <si>
    <t xml:space="preserve">Tax expense </t>
  </si>
  <si>
    <t>Net profit for the year</t>
  </si>
  <si>
    <t>AS 17.40.c</t>
  </si>
  <si>
    <t>Segment assets</t>
  </si>
  <si>
    <t>Unallocable assets</t>
  </si>
  <si>
    <t>Total assets</t>
  </si>
  <si>
    <t>AS 17.40.d</t>
  </si>
  <si>
    <t>Segment liabilities</t>
  </si>
  <si>
    <t>Unallocable liabilities</t>
  </si>
  <si>
    <t>Total liabilities</t>
  </si>
  <si>
    <t>Other information</t>
  </si>
  <si>
    <t>AS 17.40.e</t>
  </si>
  <si>
    <t>Capital expenditure (allocable)</t>
  </si>
  <si>
    <t>Capital expenditure (unallocable)</t>
  </si>
  <si>
    <t>AS 17.40.f</t>
  </si>
  <si>
    <t>Depreciation and amortisation (unallocable)</t>
  </si>
  <si>
    <t>AS 17.40.g</t>
  </si>
  <si>
    <t>Other significant non-cash expenses (allocable) (give details)</t>
  </si>
  <si>
    <t>Other significant non-cash expenses (unallocable)</t>
  </si>
  <si>
    <t xml:space="preserve">Geographic Segment </t>
  </si>
  <si>
    <t>Americas</t>
  </si>
  <si>
    <t>Europe</t>
  </si>
  <si>
    <t>India</t>
  </si>
  <si>
    <t>Note: Figures in bracket relates to the previous year</t>
  </si>
  <si>
    <t>Related party transactions</t>
  </si>
  <si>
    <t>30.7.a</t>
  </si>
  <si>
    <t>Description of relationship</t>
  </si>
  <si>
    <t>Names of related parties</t>
  </si>
  <si>
    <t>AS 18.21</t>
  </si>
  <si>
    <t>Holding Company</t>
  </si>
  <si>
    <t>A Ltd.</t>
  </si>
  <si>
    <t>Ultimate Holding Company</t>
  </si>
  <si>
    <t>AA Ltd.</t>
  </si>
  <si>
    <t>Subsidiaries</t>
  </si>
  <si>
    <t>B Ltd. and C (P) Ltd.</t>
  </si>
  <si>
    <t>Fellow Subsidiaries (to be given only if there are transactions)</t>
  </si>
  <si>
    <t>D Ltd. and Q Ltd.</t>
  </si>
  <si>
    <t>Associates</t>
  </si>
  <si>
    <t>Mr. Y and Mr. Z</t>
  </si>
  <si>
    <t>Mrs. Y (wife of Mr. Y), Mr. F (father of Mr. Z)</t>
  </si>
  <si>
    <t>Company in which KMP / Relatives of KMP can exercise significant influence</t>
  </si>
  <si>
    <t>D Ltd in which MD(KMP) and his wife hold 50%</t>
  </si>
  <si>
    <t xml:space="preserve">Note: Related parties have been identified by the Management.      </t>
  </si>
  <si>
    <t>AS 18.23</t>
  </si>
  <si>
    <t>30.7.b</t>
  </si>
  <si>
    <t>Fellow Subsidiaries</t>
  </si>
  <si>
    <t>AS 18.24
AS 18.26</t>
  </si>
  <si>
    <t>Purchase of fixed assets</t>
  </si>
  <si>
    <t>Sale of fixed assets</t>
  </si>
  <si>
    <t>Rendering of services</t>
  </si>
  <si>
    <t>Receiving of services</t>
  </si>
  <si>
    <t>Agency arrangements</t>
  </si>
  <si>
    <t>Leasing or hire purchase arrangements</t>
  </si>
  <si>
    <t>Transfer of research and development</t>
  </si>
  <si>
    <t>License agreements</t>
  </si>
  <si>
    <t>Finance (including loans and equity contributions in cash or in kind)</t>
  </si>
  <si>
    <t>Guarantees and collaterals</t>
  </si>
  <si>
    <t>Management contracts including for deputation of employees</t>
  </si>
  <si>
    <t>Balances outstanding at the end of the year</t>
  </si>
  <si>
    <t>Loans and advances</t>
  </si>
  <si>
    <t>Borrowings</t>
  </si>
  <si>
    <t>AS 19
GN 8.8.7.5</t>
  </si>
  <si>
    <t>Details of leasing arrangements</t>
  </si>
  <si>
    <t>AS 19.46</t>
  </si>
  <si>
    <t>AS 19.46.d</t>
  </si>
  <si>
    <t>30.8.a</t>
  </si>
  <si>
    <t>AS 19.46.b</t>
  </si>
  <si>
    <t xml:space="preserve">Future minimum lease payments </t>
  </si>
  <si>
    <t>not later than one year</t>
  </si>
  <si>
    <t>later than one year and not later than five years</t>
  </si>
  <si>
    <t>later than five years</t>
  </si>
  <si>
    <t>AS 19.46.c</t>
  </si>
  <si>
    <t>Contingent rents recognised as income during the year (state basis)</t>
  </si>
  <si>
    <t>AS 19.46.a</t>
  </si>
  <si>
    <t>Impairment losses recognised on the leased assets</t>
  </si>
  <si>
    <t>Impairment losses reversed on the leased assets</t>
  </si>
  <si>
    <t>AS 19.37.f</t>
  </si>
  <si>
    <t>30.8.b</t>
  </si>
  <si>
    <t xml:space="preserve">The Company has entered into finance lease arrangements for certain equipments and vehicles. </t>
  </si>
  <si>
    <t>AS 19.37.a</t>
  </si>
  <si>
    <t>Future minimum lease payments and reconciliation of gross investment in the lease and present value of minimum lease payments</t>
  </si>
  <si>
    <t>AS 19.37.b</t>
  </si>
  <si>
    <t>Less: Unearned finance income</t>
  </si>
  <si>
    <t>Present value of minimum lease payments receivable</t>
  </si>
  <si>
    <t>AS 19.37.c</t>
  </si>
  <si>
    <t>AS 19.37.d</t>
  </si>
  <si>
    <t>Accumulated provision for doubtful minimum lease payments</t>
  </si>
  <si>
    <t>AS 19.37.e</t>
  </si>
  <si>
    <t>As Lessee</t>
  </si>
  <si>
    <t>AS 19.22.f</t>
  </si>
  <si>
    <t>30.8.c</t>
  </si>
  <si>
    <t>AS 19.22.c</t>
  </si>
  <si>
    <t>Less: Unmatured finance charges</t>
  </si>
  <si>
    <t>Present value of minimum lease payments payable</t>
  </si>
  <si>
    <t>AS 19.22.d</t>
  </si>
  <si>
    <t>Contingent rents recognised as expense during the year (state basis)</t>
  </si>
  <si>
    <t>As 19.22.e</t>
  </si>
  <si>
    <t>Future minimum sublease payments expected to be received under non-cancellable subleases</t>
  </si>
  <si>
    <t>AS 19.25.e</t>
  </si>
  <si>
    <t>30.8.d</t>
  </si>
  <si>
    <t>AS 19.25.a</t>
  </si>
  <si>
    <t>AS 19.25.c</t>
  </si>
  <si>
    <t>Lease payments recognised in the Statement of Profit and Loss</t>
  </si>
  <si>
    <t>AS 19.25.b</t>
  </si>
  <si>
    <t>AS 19.25.d</t>
  </si>
  <si>
    <t>Sublease payments received / receivable recognised in the Statement of Profit and Loss</t>
  </si>
  <si>
    <t>AS 20</t>
  </si>
  <si>
    <t>Basic</t>
  </si>
  <si>
    <t>30.9.a</t>
  </si>
  <si>
    <t>Continuing operations</t>
  </si>
  <si>
    <t>AS 20.11</t>
  </si>
  <si>
    <t>Net profit / (loss) for the year from continuing operations</t>
  </si>
  <si>
    <t>Less: Preference dividend and tax thereon</t>
  </si>
  <si>
    <t>AS 20.48.ii</t>
  </si>
  <si>
    <t>Net profit / (loss) for the year from continuing operations attributable to the equity shareholders</t>
  </si>
  <si>
    <t>Par value per share</t>
  </si>
  <si>
    <t>Earnings per share from continuing operations - Basic</t>
  </si>
  <si>
    <t>30.9.b</t>
  </si>
  <si>
    <t>Total operations</t>
  </si>
  <si>
    <t xml:space="preserve">Net profit / (loss) for the year </t>
  </si>
  <si>
    <t>Net profit / (loss) for the year attributable to the equity shareholders</t>
  </si>
  <si>
    <t>Earnings per share - Basic</t>
  </si>
  <si>
    <t>Basic (excluding extraordinary items)</t>
  </si>
  <si>
    <t>30.9.c</t>
  </si>
  <si>
    <t>(Add) / Less: Extraordinary items (net of tax) relating to continuing operations</t>
  </si>
  <si>
    <t>Net profit / (loss) for the year from continuing operations attributable to the equity shareholders, excluding extraordinary items</t>
  </si>
  <si>
    <t>Earnings per share from continuing operations, excluding extraordinary items - Basic</t>
  </si>
  <si>
    <t>30.9.d</t>
  </si>
  <si>
    <t xml:space="preserve">(Add) / Less: Extraordinary items (net of tax) </t>
  </si>
  <si>
    <t>Net profit / (loss) for the year attributable to the equity shareholders, excluding extraordinary items</t>
  </si>
  <si>
    <t>Earnings per share, excluding extraordinary items - Basic</t>
  </si>
  <si>
    <t>Diluted</t>
  </si>
  <si>
    <t>30.9.e</t>
  </si>
  <si>
    <t>Net profit / (loss) for the year attributable to the equity shareholders from continuing operations</t>
  </si>
  <si>
    <t>AS 20.29</t>
  </si>
  <si>
    <t>Earnings per share, from continuing operations - Diluted</t>
  </si>
  <si>
    <t>30.9.f</t>
  </si>
  <si>
    <t xml:space="preserve">Net profit / (loss) for the year attributable to the equity shareholders </t>
  </si>
  <si>
    <t>Earnings per share - Diluted</t>
  </si>
  <si>
    <t>Diluted (excluding extraordinary items)</t>
  </si>
  <si>
    <t>30.9.g</t>
  </si>
  <si>
    <t>(Add) / Less: Extraordinary items (net of tax)</t>
  </si>
  <si>
    <t>Earnings per share, from continuing operations, excluding extraordinary items - Diluted</t>
  </si>
  <si>
    <t>30.9.h</t>
  </si>
  <si>
    <t>Net profit / (loss) for the year</t>
  </si>
  <si>
    <t>Earnings per share, excluding extraordinary items - Diluted</t>
  </si>
  <si>
    <t>30.10</t>
  </si>
  <si>
    <t>AS 22.31</t>
  </si>
  <si>
    <t>Tax effect of items constituting deferred tax liability</t>
  </si>
  <si>
    <t>On difference between book balance and tax balance of fixed assets</t>
  </si>
  <si>
    <t>On expenditure deferred in the books but allowable for tax purposes</t>
  </si>
  <si>
    <t>Tax effect of items constituting deferred tax assets</t>
  </si>
  <si>
    <t>Provision for compensated absences, gratuity and other employee benefits</t>
  </si>
  <si>
    <t>Provision for doubtful debts / advances</t>
  </si>
  <si>
    <t>Unabsorbed depreciation carried forward</t>
  </si>
  <si>
    <t>Brought forward business losses</t>
  </si>
  <si>
    <t>Net deferred tax (liability) / asset</t>
  </si>
  <si>
    <t>AS 22.32</t>
  </si>
  <si>
    <t>The net deferred tax liability / asset should always be classified as non-current and disclosed on the face of the Balance Sheet.</t>
  </si>
  <si>
    <t>Discontinuing operations</t>
  </si>
  <si>
    <t>AS 24.20</t>
  </si>
  <si>
    <t>Profit / (Loss) from ordinary activities</t>
  </si>
  <si>
    <t>AS 24.20.f</t>
  </si>
  <si>
    <t>Cost of materials consumed</t>
  </si>
  <si>
    <t>Purchases of stock-in-trade</t>
  </si>
  <si>
    <t>Employee benefits expense</t>
  </si>
  <si>
    <t>Other expenses</t>
  </si>
  <si>
    <t>AS 24.20.g</t>
  </si>
  <si>
    <t>Profit / (Loss) before tax from ordinary activities (A-B)</t>
  </si>
  <si>
    <t>AS 24.23.a</t>
  </si>
  <si>
    <t>Add / (Less): Gain / (Loss) on disposal of assets / settlement of liabilities attributable to the discontinuing operation</t>
  </si>
  <si>
    <t>- on ordinary activities attributable to the discontinuing operations</t>
  </si>
  <si>
    <t>- on gain / loss on disposal of assets / settlement of liabilities</t>
  </si>
  <si>
    <t>Profit / (Loss) after tax of discontinuing operations</t>
  </si>
  <si>
    <t>AS 24.20.e</t>
  </si>
  <si>
    <t>AS 24.20.h</t>
  </si>
  <si>
    <t>Net cash flow attributable to the discontinued business</t>
  </si>
  <si>
    <t>Cash flows from operating activities</t>
  </si>
  <si>
    <t>Cash flows from investing activities</t>
  </si>
  <si>
    <t>Cash flows from financing activities</t>
  </si>
  <si>
    <t>Interest in joint ventures</t>
  </si>
  <si>
    <t>AS 27.50</t>
  </si>
  <si>
    <t>% of shareholding</t>
  </si>
  <si>
    <t>Amount of interest based on accounts for the year ended 31 March, 20X2</t>
  </si>
  <si>
    <t>AS 27.51
AS 27.52
AS 27.53</t>
  </si>
  <si>
    <t>Assets</t>
  </si>
  <si>
    <t>Liabilities</t>
  </si>
  <si>
    <t>Income</t>
  </si>
  <si>
    <t>Expenditure</t>
  </si>
  <si>
    <t>(XX)</t>
  </si>
  <si>
    <t>PL 5(v)(a)
PL 5(v)(b)
AS 29.66
GN 10.11</t>
  </si>
  <si>
    <t>Utilisation</t>
  </si>
  <si>
    <t>Reversal (withdrawn as no longer required)</t>
  </si>
  <si>
    <t>Provision for estimated losses on onerous contracts</t>
  </si>
  <si>
    <t>Provision for other contingencies (give details)</t>
  </si>
  <si>
    <t xml:space="preserve">Of the above, the following amounts are expected to be incurred within a year: </t>
  </si>
  <si>
    <t>AS 29.67</t>
  </si>
  <si>
    <t>Employee Stock Option Scheme</t>
  </si>
  <si>
    <t>a)</t>
  </si>
  <si>
    <t>The ESOP A allows the issue of options to employees of the Company and its subsidiaries (whether in India or abroad). Each option comprises one underlying equity share.</t>
  </si>
  <si>
    <t>b)</t>
  </si>
  <si>
    <t xml:space="preserve">The ESOP scheme titled “_____ ESOP ___” (ESOP B) was approved by the shareholders through postal ballot on __________. ______ options are covered under the scheme for __________shares. </t>
  </si>
  <si>
    <t>c)</t>
  </si>
  <si>
    <t>d)</t>
  </si>
  <si>
    <r>
      <t>Weighted average exercise price per option (</t>
    </r>
    <r>
      <rPr>
        <b/>
        <sz val="10"/>
        <color rgb="FF000000"/>
        <rFont val="Rupee Foradian"/>
        <family val="2"/>
      </rPr>
      <t>`</t>
    </r>
    <r>
      <rPr>
        <b/>
        <sz val="10"/>
        <color rgb="FF000000"/>
        <rFont val="Arial"/>
        <family val="2"/>
      </rPr>
      <t>)</t>
    </r>
  </si>
  <si>
    <t xml:space="preserve">  - ESOP A</t>
  </si>
  <si>
    <t xml:space="preserve">  - ESOP B</t>
  </si>
  <si>
    <t xml:space="preserve">  - ESOP (Director)</t>
  </si>
  <si>
    <t>Granted during the year:</t>
  </si>
  <si>
    <t>Vested during the year:</t>
  </si>
  <si>
    <t>Exercised during the year:</t>
  </si>
  <si>
    <t>Lapsed during the year:</t>
  </si>
  <si>
    <t>e)</t>
  </si>
  <si>
    <r>
      <t>The impact on Earnings per Share if the ‘fair value’ of the options (on the date of</t>
    </r>
    <r>
      <rPr>
        <sz val="10"/>
        <color rgb="FF000000"/>
        <rFont val="Arial"/>
        <family val="2"/>
      </rPr>
      <t xml:space="preserve"> the grant) were considered instead of the ‘intrinsic value’ is as under:</t>
    </r>
  </si>
  <si>
    <t xml:space="preserve">Basic earnings per share (as reported) </t>
  </si>
  <si>
    <t xml:space="preserve">Diluted earnings per share (as reported) </t>
  </si>
  <si>
    <t>f)</t>
  </si>
  <si>
    <r>
      <t xml:space="preserve">The fair value of the options has been determined under the Black-Scholes model. The assumptions used in </t>
    </r>
    <r>
      <rPr>
        <sz val="10"/>
        <color rgb="FF000000"/>
        <rFont val="Arial"/>
        <family val="2"/>
      </rPr>
      <t>this</t>
    </r>
    <r>
      <rPr>
        <sz val="10"/>
        <color theme="1"/>
        <rFont val="Arial"/>
        <family val="2"/>
      </rPr>
      <t xml:space="preserve"> model for calculating fair value are as below: </t>
    </r>
  </si>
  <si>
    <t>Assumptions</t>
  </si>
  <si>
    <t>Risk Free Interest Rate</t>
  </si>
  <si>
    <t>Expected Life</t>
  </si>
  <si>
    <t>Expected Annual Volatility of Shares</t>
  </si>
  <si>
    <t>Expected Dividend Yield</t>
  </si>
  <si>
    <t>Note 32 Previous year's figures</t>
  </si>
  <si>
    <t>(a%)</t>
  </si>
  <si>
    <t>(YYY)</t>
  </si>
  <si>
    <t>(b%)</t>
  </si>
  <si>
    <t>(c%)</t>
  </si>
  <si>
    <t>(PPP)</t>
  </si>
  <si>
    <t>(bc%)</t>
  </si>
  <si>
    <t>(QQQ)</t>
  </si>
  <si>
    <t>(r%)</t>
  </si>
  <si>
    <t>(s%)</t>
  </si>
  <si>
    <t>(BBB)</t>
  </si>
  <si>
    <t>(t%)</t>
  </si>
  <si>
    <t>(FFF)</t>
  </si>
  <si>
    <t>(st%)</t>
  </si>
  <si>
    <t>hhh</t>
  </si>
  <si>
    <t>QQQ</t>
  </si>
  <si>
    <t>Number of shares</t>
  </si>
  <si>
    <t xml:space="preserve">Class of shares / Name of shareholder </t>
  </si>
  <si>
    <t>4th prior year</t>
  </si>
  <si>
    <t>(i) Continuing operations</t>
  </si>
  <si>
    <t>(ii) Total operations</t>
  </si>
  <si>
    <t>Number of shares held</t>
  </si>
  <si>
    <t>AS 7.41.a</t>
  </si>
  <si>
    <t>Gross amount due from customers for contract work (asset)</t>
  </si>
  <si>
    <t>AS 7.41.b</t>
  </si>
  <si>
    <t>Gross amount due to customers for contract work (liability)</t>
  </si>
  <si>
    <t>The estimate of future salary increases considered, takes into account the inflation, seniority, promotion, increments and other relevant factors.</t>
  </si>
  <si>
    <t>Depreciation and amortisation (allocable)</t>
  </si>
  <si>
    <t>Add: Interest expense and exchange fluctuation on convertible bonds (net)</t>
  </si>
  <si>
    <t>Note 27 Other expenses (contd.)</t>
  </si>
  <si>
    <t>Note 29 Additional information to the financial statements (contd.)</t>
  </si>
  <si>
    <t>Note 30 Disclosures under Accounting Standards (contd.)</t>
  </si>
  <si>
    <t>xxx</t>
  </si>
  <si>
    <t>ppp</t>
  </si>
  <si>
    <t>qqq</t>
  </si>
  <si>
    <t>rrr</t>
  </si>
  <si>
    <t>Unutilised monies as at 31 March, 20X2</t>
  </si>
  <si>
    <t xml:space="preserve">Change in defined benefit obligations (DBO) during the year </t>
  </si>
  <si>
    <t xml:space="preserve">Change in fair value of assets during the year </t>
  </si>
  <si>
    <t>Changes in inventories of finished goods, work-in-progress and stock-in-trade</t>
  </si>
  <si>
    <t>@ Consumption of packing  materials which are not classified by the Company as part of raw materials should be disclosed separately under Other expenses.</t>
  </si>
  <si>
    <r>
      <t xml:space="preserve">If an impairment loss is recognised or reversed by the Company, then additional disclosures as required under AS 28 </t>
    </r>
    <r>
      <rPr>
        <i/>
        <sz val="10"/>
        <rFont val="Arial"/>
        <family val="2"/>
      </rPr>
      <t>Impairment of Assets</t>
    </r>
    <r>
      <rPr>
        <sz val="10"/>
        <rFont val="Arial"/>
        <family val="2"/>
      </rPr>
      <t xml:space="preserve"> needs to be given.</t>
    </r>
  </si>
  <si>
    <t>(a) Claims against the Company not acknowledged as debt (give details)</t>
  </si>
  <si>
    <t>(c) Other money for which the Company is contingently liable (give details)</t>
  </si>
  <si>
    <t>Disclosures required under Section 22 of the Micro, Small and Medium Enterprises Development Act, 2006</t>
  </si>
  <si>
    <t>(i) Principal amount remaining unpaid to any supplier as at the end of the accounting year</t>
  </si>
  <si>
    <t>(ii) Interest due thereon remaining unpaid to any supplier as at the end of the accounting year</t>
  </si>
  <si>
    <t>(iv) The amount of interest due and payable for the year</t>
  </si>
  <si>
    <t>(v) The amount of interest accrued and remaining unpaid at the end of the accounting year</t>
  </si>
  <si>
    <t>(a) Forward exchange contracts and options [being derivative instruments], which are not intended for trading or speculative purposes but for hedge purposes to establish the amount of reporting currency required or available at the settlement date of certain payables and receivables.</t>
  </si>
  <si>
    <t>Disclosure required in terms of Clause 13.5A of Chapter XIII on Guidelines for preferential issues, SEBI (Disclosure and Investor Protection) Guidelines, 2000</t>
  </si>
  <si>
    <t>Value of imports calculated on CIF basis @:</t>
  </si>
  <si>
    <t>@ The following guidance, summarised based on the ICAI Guidance Note on Revised Schedule VI, may be considered in presenting the disclosures under this clause:
(a) The total value of imported components and spare parts may be presented in the aggregate or sub-classified and presented. Where records of raw materials and components are maintained together, the information relating to components may be presented together with raw materials.
(b) The clause requires only disclosure of imported spare parts and not stores. If it is not practical for the Company to segregate imported stores and spare parts, the total value of import of stores and spare parts may be shown clearly describing that the value disclosed relates to imported stores and spare parts.
(c) The disclosure relates to imports of goods and not consumption. The disclosure should be made on accrual basis. Accordingly, the disclosure should include goods in transit. The disclosure should also be made irrespective of whether the imports have resulted in an expenditure in foreign currency. The disclosure should be made in Indian Rupees.
(d) Disclosure is with regard to 'direct' imports by the Company.</t>
  </si>
  <si>
    <t>* The following guidance, summarised based on the ICAI Guidance Note on Revised Schedule VI, may be considered in presenting the disclosures under this clause:
(a) The disclosure should be made based on consumption of items and not items purchased.
(b) Disclosure should be made even if the Company has not incurred the foreign currency expenditure. 
(c) Only items of 'direct' import by the Company are considered as imported. 
(d) Where the records of raw materials and components are maintained together, the information required under this clause may be presented collectively.</t>
  </si>
  <si>
    <t>@@ The following guidance, summarised based on the ICAI Guidance Note on Revised Schedule VI, may be considered in presenting the disclosures under this clause:
(a) The disclosure should be made on accrual basis.
(b) The disclosure may be made gross of tax with a mention of the net of tax earnings and withholding taxes.</t>
  </si>
  <si>
    <t>## Where dividend has been paid to non-resident shareholders in Indian Rupees or where the dividend has been deposited into their Rupee account in a bank in India, details of the same may be provided as an additional information, if required.</t>
  </si>
  <si>
    <t>The Company offers the following employee benefit schemes to its employees:</t>
  </si>
  <si>
    <t>The discount rate is based on the prevailing market yields of Government of India securities as at the Balance Sheet date for the estimated term of the obligations.</t>
  </si>
  <si>
    <t>The Company has identified business segments as its primary segment and geographic segments as its secondary segment. Business segments are primarily ______________ and ___________. Revenues and expenses directly attributable to segments are reported under each reportable segment. Expenses which are not directly identifiable to each reportable segment have been allocated on the basis of associated revenues of the segment and manpower efforts. All other expenses which are not attributable or allocable to segments have been disclosed as unallocable expenses. Assets and liabilities that are directly attributable or allocable to segments are disclosed under each reportable segment. All other assets and liabilities are disclosed as unallocable. Fixed assets that are used interchangeably amongst segments are not allocated to primary and secondary segments. Geographical revenues are allocated based on the location of the customer. Geographic segments of the Company are Americas (including Canada and South American countries), Europe, India and Others.</t>
  </si>
  <si>
    <t>Relatives of KMP</t>
  </si>
  <si>
    <t xml:space="preserve">The Company has entered into finance lease arrangements for certain equipments and vehicles, which provide the Company an option to purchase the assets at the end of the lease period. </t>
  </si>
  <si>
    <t>Disallowances under Section 40(a)(i), 43B of the Income Tax Act, 1961</t>
  </si>
  <si>
    <t>The difference between the fair price of the share underlying the options granted on the date of grant of option and the exercise price of the option (being the intrinsic value of the option) representing Stock compensation expense is expensed over the vesting period.</t>
  </si>
  <si>
    <t>The Revised Schedule VI has become effective from 1 April, 2011 for the preparation of financial statements.  This has significantly impacted the disclosure and presentation made in the financial statements.  Previous year's figures have been regrouped / reclassified wherever necessary to correspond with the current year's classification / disclosure.</t>
  </si>
  <si>
    <t>Carrying amount of assets as at the Balance Sheet date relating to the discontinued business to be disposed off</t>
  </si>
  <si>
    <t>Carrying amount of liabilities as at the Balance Sheet date relating to the discontinued business to be settled</t>
  </si>
  <si>
    <t>Wealth tax and penalties levied under Income Tax laws should not be classified as current tax and should be disclosed under Note 27 Other expenses as part of Rates and taxes.</t>
  </si>
  <si>
    <t>@ Exceptional items are items of income and expenses which are of such size, nature or incidence that their disclosure (giving details) is relevant to explain the performance of the Company.</t>
  </si>
  <si>
    <t># The word ‘commitment’ has not been defined in the Revised Schedule VI. 'Other commitments' would include all expenditure related contractual commitments such as commitments arising from long-term contracts for purchase of raw material, employee contracts, lease commitments, etc. The scope of such terminology is very wide and may include contractual commitments for purchase of inventory, services, investments, sales, employee contracts, etc. However, to give disclosure of all contractual commitments would be contrary to the overarching principle under General Instructions that “a balance shall be maintained between providing excessive detail that may not assist users of financial statements and not providing important information as a result of too much aggregation.” Accordingly, the disclosures required to be made for ‘other commitments’ should include only those non-cancellable contractual commitments (i.e. cancellation of which will result in a penalty disproportionate to the benefits involved) based on the professional judgment of the Management which are material and relevant in understanding the financial statements of the Company and impact the decision making of the users of financial statements. Examples may include commitments in the nature of buy-back arrangements, commitments to fund subsidiaries and associates, non-disposal of investments in subsidiaries and undertakings, derivative related commitments, etc.</t>
  </si>
  <si>
    <t>Disclosure as per Clause 32 of the Listing Agreements with the Stock Exchanges</t>
  </si>
  <si>
    <t>Details of assets and liabilities acquired on amalgamation and treatment of the difference between the net assets acquired and cost of investment by the Transferee Company in the Transferor Companies together with the shares issued to the minority shareholders:</t>
  </si>
  <si>
    <t>Present value of DBO at beginning of the year</t>
  </si>
  <si>
    <t>Present value of DBO at the end of the year</t>
  </si>
  <si>
    <t>Plan assets at beginning of the year</t>
  </si>
  <si>
    <t>Plan assets at the end of the year</t>
  </si>
  <si>
    <t>Actuarial assumptions for long-term compensated absences</t>
  </si>
  <si>
    <t>On items included in Reserves and surplus pending amortisation into the Statement of Profit and Loss</t>
  </si>
  <si>
    <r>
      <t xml:space="preserve">During the year, pursuant to the approval of the Shareholders and other authorities as required, the Company has transferred the ________ business to _______________ on a slump sale basis with effect from the close of business on _____________ for a consideration of </t>
    </r>
    <r>
      <rPr>
        <sz val="10"/>
        <rFont val="Rupee Foradian"/>
        <family val="2"/>
      </rPr>
      <t>`</t>
    </r>
    <r>
      <rPr>
        <sz val="10"/>
        <rFont val="Arial"/>
        <family val="2"/>
      </rPr>
      <t>______________. The ____ business was reported as part of _____ segment of the Company. The results of the discontinued business during the year until discontinuation were as under:</t>
    </r>
  </si>
  <si>
    <t>The vesting period of these options range over a period of ___ years. The options may be exercised with in a period of ___ days from the date of vesting.</t>
  </si>
  <si>
    <t>The vesting period of these options range over a period of ____ years. The options may be exercised with in a period of ___ days from the date of vesting.</t>
  </si>
  <si>
    <t>The Company has entered into operating lease arrangements for certain surplus facilities. The lease is non-cancellable for a period of ____ years from ____ and may be renewed for a further period of ___ years based on mutual agreement of the parties.</t>
  </si>
  <si>
    <t>The Company has entered into operating lease arrangements for certain facilities and office premises. The leases are non-cancellable and are for a period of ___ to ____ years and may be renewed for a further period of ___ years based on mutual agreement of the parties. The lease agreements provide for an increase in the lease payments by __ to ___% every ____ years.</t>
  </si>
  <si>
    <t>i</t>
  </si>
  <si>
    <r>
      <rPr>
        <b/>
        <sz val="16"/>
        <color indexed="8"/>
        <rFont val="Wingdings"/>
        <charset val="2"/>
      </rPr>
      <t>?</t>
    </r>
    <r>
      <rPr>
        <sz val="10"/>
        <color indexed="8"/>
        <rFont val="Arial"/>
        <family val="2"/>
      </rPr>
      <t xml:space="preserve"> * Any item of expenditure which exceeds 1% of the revenue from operations or </t>
    </r>
    <r>
      <rPr>
        <sz val="10"/>
        <color indexed="8"/>
        <rFont val="Rupee Foradian"/>
        <family val="2"/>
      </rPr>
      <t>`</t>
    </r>
    <r>
      <rPr>
        <sz val="10"/>
        <color indexed="8"/>
        <rFont val="Arial"/>
        <family val="2"/>
      </rPr>
      <t xml:space="preserve"> 100,000/- whichever is higher should be disclosed. Items which do not meet the criteria may be included as part of Miscellaneous expenses.</t>
    </r>
  </si>
  <si>
    <r>
      <rPr>
        <b/>
        <sz val="16"/>
        <color theme="1"/>
        <rFont val="Wingdings"/>
        <charset val="2"/>
      </rPr>
      <t>?</t>
    </r>
    <r>
      <rPr>
        <sz val="10"/>
        <color theme="1"/>
        <rFont val="Arial"/>
        <family val="2"/>
      </rPr>
      <t xml:space="preserve"> The Company should disclose for each class of contingent liability, the estimated financial effect, the uncertainties relating to any outflow, the possibility of any reimbursement and any asset recognised therefor. If the Company is unable to disclose this information because it is not practicable to do so, that fact should be disclosed.</t>
    </r>
  </si>
  <si>
    <r>
      <rPr>
        <b/>
        <sz val="16"/>
        <color theme="1"/>
        <rFont val="Wingdings"/>
        <charset val="2"/>
      </rPr>
      <t>?</t>
    </r>
    <r>
      <rPr>
        <sz val="10"/>
        <color theme="1"/>
        <rFont val="Arial"/>
        <family val="2"/>
      </rPr>
      <t xml:space="preserve"> Restrictions imposed by lease arrangements, such as those concerning dividends, additional debt and further leasing should be disclosed.</t>
    </r>
  </si>
  <si>
    <t>As auditors - statutory audit</t>
  </si>
  <si>
    <t xml:space="preserve">Government grants received by the Company during the year towards </t>
  </si>
  <si>
    <t>- Subsidies (recognised under _____)</t>
  </si>
  <si>
    <t>- Duty drawback (recognised under Other operating revenues)</t>
  </si>
  <si>
    <t>- Other incentives (specify nature) (recognised under ____)</t>
  </si>
  <si>
    <t>iii. Other defined benefit plans (specify nature)</t>
  </si>
  <si>
    <r>
      <t xml:space="preserve">The Company makes Provident Fund and Superannuation Fund contributions to defined contribution plans for qualifying employees. Under the Schemes, the Company is required to contribute a specified percentage of the payroll costs to fund the benefits.  The Company recognised </t>
    </r>
    <r>
      <rPr>
        <sz val="10"/>
        <rFont val="Rupee Foradian"/>
        <family val="2"/>
      </rPr>
      <t>`</t>
    </r>
    <r>
      <rPr>
        <sz val="10"/>
        <rFont val="Arial"/>
        <family val="2"/>
      </rPr>
      <t xml:space="preserve"> ___________ (Year ended 31 March, 20X1 </t>
    </r>
    <r>
      <rPr>
        <sz val="10"/>
        <rFont val="Rupee Foradian"/>
        <family val="2"/>
      </rPr>
      <t>`</t>
    </r>
    <r>
      <rPr>
        <sz val="10"/>
        <rFont val="Arial"/>
        <family val="2"/>
      </rPr>
      <t xml:space="preserve"> __________) for Provident Fund contributions and </t>
    </r>
    <r>
      <rPr>
        <sz val="10"/>
        <rFont val="Rupee Foradian"/>
        <family val="2"/>
      </rPr>
      <t>`</t>
    </r>
    <r>
      <rPr>
        <sz val="10"/>
        <rFont val="Arial"/>
        <family val="2"/>
      </rPr>
      <t xml:space="preserve"> _____ (Year ended 31 March, 20X1 </t>
    </r>
    <r>
      <rPr>
        <sz val="10"/>
        <rFont val="Rupee Foradian"/>
        <family val="2"/>
      </rPr>
      <t>`</t>
    </r>
    <r>
      <rPr>
        <sz val="10"/>
        <rFont val="Arial"/>
        <family val="2"/>
      </rPr>
      <t xml:space="preserve"> _______) for Superannuation Fund contributions in the Statement of Profit and Loss. The contributions payable to these plans by the Company are at rates specified in the rules of the schemes. </t>
    </r>
  </si>
  <si>
    <t>In case the company has contributions to foreign defined contribution plans and benefit plans, the details of the same should be disclosed.</t>
  </si>
  <si>
    <t>Other defined benefit plans (specify nature)</t>
  </si>
  <si>
    <t xml:space="preserve">In the previous years, the Remuneration / Compensation Committee of the Company had granted ________ options under the ESOP B to few eligible employees of the Company. During the current year, the Remuneration / Compensation Committee in its meeting held on _____,  _____ and _____ has granted _________, ________ and ________ options respectively under the ESOP B to few eligible employees of the Company. The options allotted under ESOP B are convertible into equal number of equity shares. </t>
  </si>
  <si>
    <t xml:space="preserve">The Remuneration / Compensation Committee of the Company, had granted ________ options under this  scheme to few Directors of the Company. The shares covered by such options were ________ equity shares. </t>
  </si>
  <si>
    <t>As per the Scheme, the Remuneration / Compensation Committee grants the options to the employees deemed eligible. The exercise price of each option shall not be less than 85 per cent of the “Market Price” as defined in the Scheme. The options granted vest over a period of __ years from the date of the grant in proportions specified in the Scheme. Options may be exercised within __ days of vesting.</t>
  </si>
  <si>
    <t xml:space="preserve">(iii) The amount of interest paid along with the amounts of the payment made to the supplier beyond the appointed day </t>
  </si>
  <si>
    <t>xyz</t>
  </si>
  <si>
    <t xml:space="preserve">For taxation matters </t>
  </si>
  <si>
    <t xml:space="preserve">For company law matters </t>
  </si>
  <si>
    <t xml:space="preserve">For management services </t>
  </si>
  <si>
    <t xml:space="preserve">For other services </t>
  </si>
  <si>
    <t>Payments for 
- taxation matters would include tax audit fees, certifications under the Income Tax Act, tax advisory services, etc. 
- company law matters would include certifications (e.g. certificate for buy-back of shares, etc.), company law advisory services, etc.
- other services would include limited reviews, group reporting, other attest services and certifications under other laws, etc.</t>
  </si>
  <si>
    <r>
      <rPr>
        <b/>
        <sz val="16"/>
        <color theme="1"/>
        <rFont val="Wingdings"/>
        <charset val="2"/>
      </rPr>
      <t>?</t>
    </r>
    <r>
      <rPr>
        <sz val="10"/>
        <color theme="1"/>
        <rFont val="Arial"/>
        <family val="2"/>
      </rPr>
      <t xml:space="preserve"> In extremely rare cases, disclosures of some or all information relating to contingent liabilities that are required to be presented may prejudice seriously the position of the Company. In such cases, the Company need not disclose the information but should disclose the general nature of the dispute, together with the fact that, the information has not been disclosed and the reason therefor. </t>
    </r>
  </si>
  <si>
    <t>Note: Figures in bracket relate to the previous year.</t>
  </si>
  <si>
    <t>Export of goods calculated on FOB basis</t>
  </si>
  <si>
    <t xml:space="preserve">The following table sets out the funded status of the defined benefit schemes and the amount recognised in the financial statements: </t>
  </si>
  <si>
    <t>The Company has recognised deferred tax asset on unabsorbed depreciation to the extent of the corresponding deferred tax liability on the difference between the book balance and the written down value of fixed assets under Income Tax (or) The Company has recognised deferred tax asset on unabsorbed depreciation and brought forward business losses based on the Management's estimates of future profits considering the non-cancellable customer orders received by the Company.</t>
  </si>
  <si>
    <t xml:space="preserve">(j) Other payables </t>
  </si>
  <si>
    <t>The ESOP scheme titled “_____ ESOP ___ (Directors)” [ESOP (Directors)] was approved by the shareholders through postal ballot on _____. _________ options are covered under the scheme for _________ equity shares.</t>
  </si>
  <si>
    <t># Extraordinary items are income and expenses that arise from events or transactions that are clearly distinct from ordinary activities of the Company and are not expected to recur frequently or regularly.</t>
  </si>
  <si>
    <r>
      <t xml:space="preserve">The Board of Directors of the Company at their meeting held on X July, 20XX and as approved at its Annual General Meeting held on XX July, 20XX have resolved to create, offer, issue and allot up to _____ warrants, convertible into _____ equity shares of </t>
    </r>
    <r>
      <rPr>
        <sz val="10"/>
        <color theme="1"/>
        <rFont val="Rupee Foradian"/>
        <family val="2"/>
      </rPr>
      <t>`</t>
    </r>
    <r>
      <rPr>
        <sz val="10"/>
        <color theme="1"/>
        <rFont val="Arial"/>
        <family val="2"/>
      </rPr>
      <t xml:space="preserve"> __/- each on a preferential allotment basis, pursuant to Section 81(1A) of the Companies Act, 1956, at a conversion price of </t>
    </r>
    <r>
      <rPr>
        <sz val="10"/>
        <color theme="1"/>
        <rFont val="Rupee Foradian"/>
        <family val="2"/>
      </rPr>
      <t>`</t>
    </r>
    <r>
      <rPr>
        <sz val="10"/>
        <color theme="1"/>
        <rFont val="Arial"/>
        <family val="2"/>
      </rPr>
      <t xml:space="preserve"> ___/- per equity share of the Company, arrived at in accordance with the SEBI Guidelines in this regard and subsequently these warrants were allotted on </t>
    </r>
    <r>
      <rPr>
        <u/>
        <sz val="10"/>
        <color theme="1"/>
        <rFont val="Arial"/>
        <family val="2"/>
      </rPr>
      <t>(date)</t>
    </r>
    <r>
      <rPr>
        <sz val="10"/>
        <color theme="1"/>
        <rFont val="Arial"/>
        <family val="2"/>
      </rPr>
      <t xml:space="preserve"> to the promoters and the 10% application money amounting to </t>
    </r>
    <r>
      <rPr>
        <sz val="10"/>
        <color theme="1"/>
        <rFont val="Rupee Foradian"/>
        <family val="2"/>
      </rPr>
      <t>`</t>
    </r>
    <r>
      <rPr>
        <sz val="10"/>
        <color theme="1"/>
        <rFont val="Arial"/>
        <family val="2"/>
      </rPr>
      <t xml:space="preserve"> ______ was received from them. The warrants may be converted into equivalent number of shares on payment of the balance amount at any time on or before 31 July, 20XX. In the event the warrants are not converted into shares within the said period, the Company is eligible to forfeit the amounts received towards the warrants.</t>
    </r>
  </si>
  <si>
    <t>Details on derivatives instruments and unhedged foreign currency exposures</t>
  </si>
  <si>
    <t xml:space="preserve"># The following guidance, summarised based on the ICAI Guidance Note on Revised Schedule VI, may be considered in presenting the disclosures under this clause:
(a) The disclosure should be made on accrual basis on the gross amount of expenditure (i.e. the expenditure before withholding taxes, where applicable).
(b) Disclosure should be made only in respect of those items where the Company itself incurs the foreign currency expenditure. Where an expenditure involves foreign currency but the original payment by the Company itself is in Rupees, no disclosure is necessary. 
</t>
  </si>
  <si>
    <t>X Ltd. and Y Ltd.</t>
  </si>
  <si>
    <t>Purchase of goods</t>
  </si>
  <si>
    <t>As Lessor</t>
  </si>
  <si>
    <t>Depreciation recognised on the leased assets</t>
  </si>
  <si>
    <t>Unguaranteed residual values accruing to the Company as the lessor</t>
  </si>
  <si>
    <t>Weighted average number of equity shares</t>
  </si>
  <si>
    <t>Weighted average number of equity shares - for diluted EPS</t>
  </si>
  <si>
    <t>Ref. number</t>
  </si>
  <si>
    <t>Weighted average number of equity shares for Basic EPS</t>
  </si>
  <si>
    <t>Profit / (loss) attributable to equity shareholders from continuing operations (on dilution)</t>
  </si>
  <si>
    <t>Profit / (loss) attributable to equity shareholders (on dilution)</t>
  </si>
  <si>
    <t>Profit / (loss) from continuing operations attributable to equity shareholders (on dilution)</t>
  </si>
  <si>
    <t xml:space="preserve">Deferred tax (liability) / asset </t>
  </si>
  <si>
    <t xml:space="preserve">Sale of products </t>
  </si>
  <si>
    <t>Sale of services</t>
  </si>
  <si>
    <t>Other operating revenue</t>
  </si>
  <si>
    <t>Total revenue (A)</t>
  </si>
  <si>
    <t>Total expenses (B)</t>
  </si>
  <si>
    <t>Employee stock options details as on the Balance Sheet date are as follows:</t>
  </si>
  <si>
    <t>During the year ended 
31  March, 20X2</t>
  </si>
  <si>
    <t>During the year ended 
31 March, 20X1</t>
  </si>
  <si>
    <t>Options 
(Numbers)</t>
  </si>
  <si>
    <t>Option outstanding at the beginning of the year:</t>
  </si>
  <si>
    <t>Options outstanding at the end of the year:</t>
  </si>
  <si>
    <t xml:space="preserve">Options available for grant: </t>
  </si>
  <si>
    <t>The Revised Schedule VI does not require presentation of a reconciliation explaining the impact of the reclassification of the previous year figures in the financial statements. However, the company may consider giving an appropriate reconciliation in the Notes as an additional information as it would help in clarifying the impact of the reclassification of the previous year figures.</t>
  </si>
  <si>
    <t xml:space="preserve">Actual contribution and benefit payments for year </t>
  </si>
  <si>
    <t>YY</t>
  </si>
  <si>
    <t xml:space="preserve">Other income (net) </t>
  </si>
  <si>
    <t>PPP</t>
  </si>
  <si>
    <t>q%</t>
  </si>
  <si>
    <t>RRR</t>
  </si>
  <si>
    <t>ad%</t>
  </si>
  <si>
    <t>SSS</t>
  </si>
  <si>
    <t>t%</t>
  </si>
  <si>
    <t>MMM</t>
  </si>
  <si>
    <t>np%</t>
  </si>
  <si>
    <t xml:space="preserve"> Amount outstanding as at 31 March, 20X2</t>
  </si>
  <si>
    <t>Note: Figures / percentages in brackets relates to the previous year</t>
  </si>
  <si>
    <t>Write off  / write back  made during the year</t>
  </si>
  <si>
    <t>Gn 50(a)</t>
  </si>
  <si>
    <t>Gn 48</t>
  </si>
  <si>
    <t>Gn 50(b)</t>
  </si>
  <si>
    <t>Gn 51</t>
  </si>
  <si>
    <t xml:space="preserve"> For the year ended 
31 March, 20X2</t>
  </si>
  <si>
    <t xml:space="preserve"> For the year ended
31 March, 20X1</t>
  </si>
  <si>
    <t xml:space="preserve">Net Profit / (loss) (as reported) </t>
  </si>
  <si>
    <t xml:space="preserve">Add / (Less): stock based employee compensation (intrinsic value) </t>
  </si>
  <si>
    <t xml:space="preserve">Add / (Less): stock based compensation expenses determined under fair value method for the grants issued (See note (f) below) </t>
  </si>
  <si>
    <t xml:space="preserve">Net Profit / (loss) (proforma) </t>
  </si>
  <si>
    <t xml:space="preserve">Basic earnings per share (proforma) </t>
  </si>
  <si>
    <t xml:space="preserve">Diluted earnings per share (proforma) </t>
  </si>
  <si>
    <t>Aggregate current service and interest cost</t>
  </si>
  <si>
    <t>Closing balance of obligation</t>
  </si>
  <si>
    <t>PL 5.(viii).(e)
GN 11.5</t>
  </si>
  <si>
    <t>PL 5.(viii).(d)
GN 11.4</t>
  </si>
  <si>
    <t>Adjustments for (increase) / decrease in operating assets:</t>
  </si>
  <si>
    <t>Adjustments for increase / (decrease) in operating liabilities:</t>
  </si>
  <si>
    <t>Net income tax (paid) / refunds</t>
  </si>
  <si>
    <t>The diluted earnings per share has been computed by dividing the Net Profit After Tax available for Equity Shareholders by the weighted average number of equity shares, after giving dilutive effect of the outstanding Warrants, Stock Options and Convertible bonds for the respective periods. Since, the effect of the conversion of Preference shares was anti-dilutive, it has been ignored.</t>
  </si>
  <si>
    <t>Add: Effect of warrants, ESOPs and Convertible bonds which are dilutive</t>
  </si>
  <si>
    <t>Add: Effect of Warrants, ESOPs and Convertible bonds which are dilutive</t>
  </si>
  <si>
    <t>@ A contingent liability in respect of guarantees arises when the Company issues guarantees to another person on behalf of a third party. However, where the Company undertakes to perform its own obligations, and for this purpose issues, what is called a 'guarantee', it does not represent a contingent liability and it would be misleading to show such items as contingent liabilities in the Balance Sheet. It is also customary for guarantees to be issued by its bankers on behalf of the Company. For this purpose, the Company issues a 'counter-guarantee' to its bankers. Such 'counter-guarantee' is not really a guarantee at all, but is an undertaking to perform what is in any event the obligation of the Company. Hence, such performance guarantees and counter guarantees should not be disclosed as contingent liabilities.</t>
  </si>
  <si>
    <r>
      <t xml:space="preserve">The Company had issued securities (specify type of security) amounting to </t>
    </r>
    <r>
      <rPr>
        <sz val="10"/>
        <color indexed="8"/>
        <rFont val="Rupee Foradian"/>
        <family val="2"/>
      </rPr>
      <t>`</t>
    </r>
    <r>
      <rPr>
        <sz val="10"/>
        <color indexed="8"/>
        <rFont val="Arial"/>
        <family val="2"/>
      </rPr>
      <t xml:space="preserve"> ____ for purposes of _____. As at 31 March, 20X2, an amount of </t>
    </r>
    <r>
      <rPr>
        <sz val="10"/>
        <color indexed="8"/>
        <rFont val="Rupee Foradian"/>
        <family val="2"/>
      </rPr>
      <t>`</t>
    </r>
    <r>
      <rPr>
        <sz val="10"/>
        <color indexed="8"/>
        <rFont val="Arial"/>
        <family val="2"/>
      </rPr>
      <t xml:space="preserve"> ____ (31 March, 20X1 </t>
    </r>
    <r>
      <rPr>
        <sz val="10"/>
        <color indexed="8"/>
        <rFont val="Rupee Foradian"/>
        <family val="2"/>
      </rPr>
      <t>`</t>
    </r>
    <r>
      <rPr>
        <sz val="10"/>
        <color indexed="8"/>
        <rFont val="Arial"/>
        <family val="2"/>
      </rPr>
      <t xml:space="preserve"> ____) is pending utilisation in future periods / is no longer required for the said purpose consequent to completion of the specified activity. Accordingly, the unutilised amount has been invested in term deposits with banks (specify any other nature) / used in the operations of the Company for acquisition of other assets / investments / to meet its working capital requirements.</t>
    </r>
  </si>
  <si>
    <t>KMP</t>
  </si>
  <si>
    <t>Entities in which KMP / relatives of KMP have significant influence</t>
  </si>
  <si>
    <r>
      <rPr>
        <b/>
        <sz val="16"/>
        <color theme="1"/>
        <rFont val="Wingdings"/>
        <charset val="2"/>
      </rPr>
      <t>?</t>
    </r>
    <r>
      <rPr>
        <sz val="10"/>
        <color theme="1"/>
        <rFont val="Arial"/>
        <family val="2"/>
      </rPr>
      <t xml:space="preserve"> Party-wise details - aggregation to be done only if the related party is &lt; 10 % of the total  amount of that particular type of transaction - e.g. purchases.  Also note that in some cases even less than 10%  will be required to be disclosed and such importance depends on circumstances of the respective companies.</t>
    </r>
  </si>
  <si>
    <t>Net cash flow from / (used in) investing activities (B)</t>
  </si>
  <si>
    <t>Revenues
For the year ended 
31 March, 20X2</t>
  </si>
  <si>
    <t>Segment assets
As at 
31 March, 20X2</t>
  </si>
  <si>
    <t>Capital expenditure incurred during the year ended 
31 March, 20X2</t>
  </si>
  <si>
    <t>Details of related party transactions during the year ended 31 March, 20X2 and balances outstanding as at 31 March, 20X2:</t>
  </si>
  <si>
    <t>Details of related parties:</t>
  </si>
  <si>
    <t>AAA</t>
  </si>
  <si>
    <t>BBB</t>
  </si>
  <si>
    <t>As at 1 April, 20X1</t>
  </si>
  <si>
    <t>Aggregate of contract costs incurred and recognised profits (less recognised losses) upto the reporting date</t>
  </si>
  <si>
    <t>AS 15.120.b</t>
  </si>
  <si>
    <t xml:space="preserve">- as inventory </t>
  </si>
  <si>
    <t xml:space="preserve">Reconciliation of minimum lease payments </t>
  </si>
  <si>
    <t>AS.20.48.i</t>
  </si>
  <si>
    <t>Name of companies and country of incorporation</t>
  </si>
  <si>
    <t>A Ltd. , India (audited)</t>
  </si>
  <si>
    <t>B Ltd. USA (unaudited)</t>
  </si>
  <si>
    <t>(c) Net (gain) / loss on foreign currency transactions and translation (considered as finance cost)</t>
  </si>
  <si>
    <t>@ Other borrowing costs would include commitment charges, loan processing charges, guarantee charges, loan facilitation charges, discounts / premiums on borrowings, other ancillary costs incurred in connection with borrowings or amortisation of such costs, etc.</t>
  </si>
  <si>
    <t>BS 6.A.h
GN 8.2</t>
  </si>
  <si>
    <t>Net current assets (give details)</t>
  </si>
  <si>
    <t>Fixed assets</t>
  </si>
  <si>
    <t>ii. Post-employment medical benefits</t>
  </si>
  <si>
    <t>Post-employment medical benefits</t>
  </si>
  <si>
    <t>Curtailment cost / (credit)</t>
  </si>
  <si>
    <t>Settlement cost / (credit)</t>
  </si>
  <si>
    <t>Funded status [Surplus / (Deficit)]</t>
  </si>
  <si>
    <t xml:space="preserve">Net asset / (liability) recognised in the Balance Sheet </t>
  </si>
  <si>
    <t>Net asset / (liability) recognised in the Balance Sheet</t>
  </si>
  <si>
    <t>Actuarial (gains) / losses</t>
  </si>
  <si>
    <t>Actuarial gain / (loss)</t>
  </si>
  <si>
    <t>Experience gain / (loss) adjustments on plan liabilities</t>
  </si>
  <si>
    <t>Experience gain / (loss) adjustments on plan assets</t>
  </si>
  <si>
    <t>Post Employment medical Benefits</t>
  </si>
  <si>
    <t>- as fixed assets / intangible assets / capital 
work-in-progress</t>
  </si>
  <si>
    <t>Business segments</t>
  </si>
  <si>
    <t>Key Management Personnel (KMP)</t>
  </si>
  <si>
    <r>
      <t>Note</t>
    </r>
    <r>
      <rPr>
        <sz val="10"/>
        <color theme="1"/>
        <rFont val="Arial"/>
        <family val="2"/>
      </rPr>
      <t>: - Figures in brackets relate to the previous year.</t>
    </r>
  </si>
  <si>
    <t>Note 31 Disclosures on Employee share based payments</t>
  </si>
  <si>
    <t xml:space="preserve">In the extraordinary general meeting held on  ____, the shareholders approved the issue of ________ options under the Scheme titled “_________ ESOP ____” (ESOP A). </t>
  </si>
  <si>
    <t>Note 31 Disclosures on Employee share based payments (contd.)</t>
  </si>
  <si>
    <t>See accompanying notes forming part of the financial statements</t>
  </si>
  <si>
    <t>PL 3 (a)
PL 5.i.(e)
GN 9.5.5 A</t>
  </si>
  <si>
    <t>Certain donations need to be disclosed as required under Section 293A / 293B of the Companies Act, 1956.</t>
  </si>
  <si>
    <r>
      <rPr>
        <sz val="16"/>
        <color theme="1"/>
        <rFont val="Wingdings"/>
        <charset val="2"/>
      </rPr>
      <t>?</t>
    </r>
    <r>
      <rPr>
        <sz val="16"/>
        <color theme="1"/>
        <rFont val="Arial"/>
        <family val="2"/>
      </rPr>
      <t xml:space="preserve"> </t>
    </r>
    <r>
      <rPr>
        <sz val="10"/>
        <color theme="1"/>
        <rFont val="Arial"/>
        <family val="2"/>
      </rPr>
      <t>Give details of the terms and conditions, number of shares proposed to be issued, the amount of premium, if any, the period before which the shares are to be allotted, whether the Company has sufficient authorised capital to allot the shares and the period beyond which the share application money is pending allotment with the reasons therefor, where applicable.</t>
    </r>
  </si>
  <si>
    <t>Details of unutilised amounts out of issue of securities made for specific purpose</t>
  </si>
  <si>
    <t>I. The following derivative positions are open as at 31 March, 20X2. These transactions have been undertaken to act as economic hedges for the Company’s exposures to various risks in foreign exchange markets and may / may not qualify or be designated as hedging instruments. The accounting for these transactions is stated in Notes 2.11, 2.26 and 2.27.</t>
  </si>
  <si>
    <t>BS 6.W
GN 8.8.7.9</t>
  </si>
  <si>
    <t>AS 12</t>
  </si>
  <si>
    <t>Details of government grants</t>
  </si>
  <si>
    <t>AS 14</t>
  </si>
  <si>
    <t>Details of amalgamations</t>
  </si>
  <si>
    <r>
      <rPr>
        <b/>
        <sz val="16"/>
        <color theme="1"/>
        <rFont val="Wingdings"/>
        <charset val="2"/>
      </rPr>
      <t>?</t>
    </r>
    <r>
      <rPr>
        <sz val="10"/>
        <color theme="1"/>
        <rFont val="Arial"/>
        <family val="2"/>
      </rPr>
      <t xml:space="preserve"> If, in the opinion of the Board, any of the assets other than fixed assets and non-current investments do not have a value on realisation in the ordinary course of business at least equal to the amount at which they are stated, the fact that the Board is of that opinion, shall be stated.</t>
    </r>
  </si>
  <si>
    <t>In terms of the Scheme of Arrangement (the Scheme), __________ and __________________, both subsidiaries of the Company (referred to as ‘Transferor Companies’), have been merged with the Company (Transferee Company), upon which the undertaking and the entire business, including all assets and liabilities of the Transferor Companies stand transferred to and vested in the Transferee Company at their fair value as determined by the Board of Directors of the Transferee Company (or alternatively at their book values). ____ and ______ were engaged in the manufacture of _________________ and were predominantly acting as a captive manufacturer for the Company.
The Scheme of Arrangement filed by the Company has been approved by the Honourable High Courts of Judicature at Mumbai, Chennai and Bangalore with an appointed date of 1 January, 200X and an effective date of 31 December, 200X (‘the Effective Date’), being the date on which all the requirements under the Companies Act, 1956 have been completed.</t>
  </si>
  <si>
    <t>AS 15</t>
  </si>
  <si>
    <t>Attrition</t>
  </si>
  <si>
    <t xml:space="preserve">Attrition </t>
  </si>
  <si>
    <t>AS 16</t>
  </si>
  <si>
    <t>Details of borrowing costs capitalised</t>
  </si>
  <si>
    <t>AS 17</t>
  </si>
  <si>
    <t xml:space="preserve">AS 17.48
</t>
  </si>
  <si>
    <r>
      <rPr>
        <b/>
        <sz val="16"/>
        <color theme="1"/>
        <rFont val="Wingdings"/>
        <charset val="2"/>
      </rPr>
      <t>?</t>
    </r>
    <r>
      <rPr>
        <sz val="10"/>
        <color theme="1"/>
        <rFont val="Arial"/>
        <family val="2"/>
      </rPr>
      <t xml:space="preserve"> Give composition of each geographical segment separately as a descriptive Note.</t>
    </r>
  </si>
  <si>
    <t>AS 18
GN 6.15</t>
  </si>
  <si>
    <t>AS.20.50</t>
  </si>
  <si>
    <t>AS 20.8</t>
  </si>
  <si>
    <t>AS 20.44</t>
  </si>
  <si>
    <t>AS 22
GN 7.6</t>
  </si>
  <si>
    <t>AS 24</t>
  </si>
  <si>
    <t>AS 26
AS 26.96</t>
  </si>
  <si>
    <t>AS 27</t>
  </si>
  <si>
    <t>The Company has interests in the following jointly controlled entities:</t>
  </si>
  <si>
    <t>Capital commitments</t>
  </si>
  <si>
    <t>AS 29</t>
  </si>
  <si>
    <t>Details of provisions</t>
  </si>
  <si>
    <t>The Company has made provision for various contractual obligations and disputed liabilities based on its assessment of the amount it estimates to incur to meet such obligations, details of which are given below:</t>
  </si>
  <si>
    <t>GN 8.2.3</t>
  </si>
  <si>
    <t>AS 19.22.f.iii</t>
  </si>
  <si>
    <t>The geographic segments individually contributing 10 percent or more of the Company’s revenues and segment assets are shown separately:</t>
  </si>
  <si>
    <r>
      <rPr>
        <b/>
        <sz val="16"/>
        <rFont val="Wingdings"/>
        <charset val="2"/>
      </rPr>
      <t>?</t>
    </r>
    <r>
      <rPr>
        <sz val="10"/>
        <rFont val="Arial"/>
        <family val="2"/>
      </rPr>
      <t xml:space="preserve"> If the number of equity or potential equity shares outstanding increases as a result of bonus issue or share split or decreases as a result of reverse share split, the calculation of basic and diluted earnings per share should be adjusted for all the periods presented.</t>
    </r>
  </si>
  <si>
    <r>
      <rPr>
        <b/>
        <sz val="16"/>
        <color theme="1"/>
        <rFont val="Wingdings"/>
        <charset val="2"/>
      </rPr>
      <t>?</t>
    </r>
    <r>
      <rPr>
        <sz val="10"/>
        <color theme="1"/>
        <rFont val="Arial"/>
        <family val="2"/>
      </rPr>
      <t xml:space="preserve"> Basic and diluted earnings per share should be presented on the face of the Statement of Profit and Loss for each class of equity shares that has a different right to share in the net profit for the period.</t>
    </r>
  </si>
  <si>
    <t>Provision for doubtful receivables, loans and advances</t>
  </si>
  <si>
    <t>(i) Payments to the auditors comprises (net of service tax input credit, where applicable):</t>
  </si>
  <si>
    <r>
      <t xml:space="preserve">As at 31 March 20X2, the Company has received an amount of </t>
    </r>
    <r>
      <rPr>
        <sz val="10"/>
        <color theme="1"/>
        <rFont val="Rupee Foradian"/>
        <family val="2"/>
      </rPr>
      <t>`</t>
    </r>
    <r>
      <rPr>
        <sz val="10"/>
        <color theme="1"/>
        <rFont val="Arial"/>
        <family val="2"/>
      </rPr>
      <t xml:space="preserve">_____ towards share application money towards ____ equity / preference shares of the Company (As at 31 March, 20X1 </t>
    </r>
    <r>
      <rPr>
        <sz val="10"/>
        <color theme="1"/>
        <rFont val="Rupee Foradian"/>
        <family val="2"/>
      </rPr>
      <t>`</t>
    </r>
    <r>
      <rPr>
        <sz val="10"/>
        <color theme="1"/>
        <rFont val="Arial"/>
        <family val="2"/>
      </rPr>
      <t xml:space="preserve"> ____ towards ____ equity/preference shares) at a premium of </t>
    </r>
    <r>
      <rPr>
        <sz val="10"/>
        <color theme="1"/>
        <rFont val="Rupee Foradian"/>
        <family val="2"/>
      </rPr>
      <t>`</t>
    </r>
    <r>
      <rPr>
        <sz val="10"/>
        <color theme="1"/>
        <rFont val="Arial"/>
        <family val="2"/>
      </rPr>
      <t xml:space="preserve"> ____ (As at 31 March, 20X1 </t>
    </r>
    <r>
      <rPr>
        <sz val="10"/>
        <color theme="1"/>
        <rFont val="Rupee Foradian"/>
        <family val="2"/>
      </rPr>
      <t>`</t>
    </r>
    <r>
      <rPr>
        <sz val="10"/>
        <color theme="1"/>
        <rFont val="Arial"/>
        <family val="2"/>
      </rPr>
      <t xml:space="preserve"> ____). The share application money was received pursuant to an invitation to offer shares and in terms of such invitation, the Company is required to complete the allotment formalities by _____ (As at 31 March, 20X1 ______). The Company has sufficient authorised capital to cover the allotment of these shares. Pending allotment of shares, the amounts are maintained in a designated bank account and is not available for use by the Company.</t>
    </r>
  </si>
  <si>
    <t>During the year ended 
31 March, 20X2</t>
  </si>
  <si>
    <t xml:space="preserve">Details of fixed assets held for sale </t>
  </si>
  <si>
    <t>Net increase / (decrease) in Cash and cash equivalents (A+B+C)</t>
  </si>
  <si>
    <t>(indicate amount with currency)</t>
  </si>
  <si>
    <t>SGBS UNNATI FOUNDATION</t>
  </si>
  <si>
    <t>Balance</t>
  </si>
  <si>
    <t>Debit</t>
  </si>
  <si>
    <t>Credit</t>
  </si>
  <si>
    <t>Grand Total</t>
  </si>
  <si>
    <t>Income Tax</t>
  </si>
  <si>
    <t>Donations &amp; Grants</t>
  </si>
  <si>
    <t>Charity ( Educational Assistance)</t>
  </si>
  <si>
    <t>Audit Fee</t>
  </si>
  <si>
    <t>Bank Charges</t>
  </si>
  <si>
    <t>Director</t>
  </si>
  <si>
    <t>Equity shares Subscibed &amp; Fully paid up with voting rights</t>
  </si>
  <si>
    <t>(ii) Details of shares held by each shareholder holding more than 5% shares:</t>
  </si>
  <si>
    <t xml:space="preserve">(a) Balances with government authorities </t>
  </si>
  <si>
    <t xml:space="preserve">Travelling and conveyance </t>
  </si>
  <si>
    <t>Printing and stationery</t>
  </si>
  <si>
    <t>Depreciation</t>
  </si>
  <si>
    <t>As per  our report  of even date:</t>
  </si>
  <si>
    <t>Earnings per share (of RS.  10/- each):</t>
  </si>
  <si>
    <t>Earnings per share (excluding extraordinary items) (of Rs. 10/- each):</t>
  </si>
  <si>
    <t>REFUNDABLE DEPOSIT</t>
  </si>
  <si>
    <t>Board</t>
  </si>
  <si>
    <t>Printer</t>
  </si>
  <si>
    <t>Electricity &amp; Water</t>
  </si>
  <si>
    <t>Students Training Expenses</t>
  </si>
  <si>
    <t>Staff Training Expenses</t>
  </si>
  <si>
    <t>Repairs &amp; Maintenance</t>
  </si>
  <si>
    <t>Postage &amp; Telephone</t>
  </si>
  <si>
    <t>Rent</t>
  </si>
  <si>
    <t>Advertisement &amp; Publicity</t>
  </si>
  <si>
    <t>(i) Audit Fee &amp; other expenses</t>
  </si>
  <si>
    <t>(ii) Refundable Deposits</t>
  </si>
  <si>
    <t>Miscelleneous Expenses</t>
  </si>
  <si>
    <t>Sl No.</t>
  </si>
  <si>
    <t>Description</t>
  </si>
  <si>
    <t>W.D.V.As on</t>
  </si>
  <si>
    <t>W.D.V. As on</t>
  </si>
  <si>
    <t>1st half</t>
  </si>
  <si>
    <t>2nd half</t>
  </si>
  <si>
    <t>Rate</t>
  </si>
  <si>
    <t>Increase in Fixed Assets</t>
  </si>
  <si>
    <t>Adjustment for depreciation</t>
  </si>
  <si>
    <t>Computers</t>
  </si>
  <si>
    <t>Land</t>
  </si>
  <si>
    <t/>
  </si>
  <si>
    <t>Receivables</t>
  </si>
  <si>
    <t>Note:6</t>
  </si>
  <si>
    <t>Deletions</t>
  </si>
  <si>
    <t>SYSTECH SERVICES LTD</t>
  </si>
  <si>
    <t>GRANT UNNATI - UNUTILISED</t>
  </si>
  <si>
    <t>Software Subscription</t>
  </si>
  <si>
    <t>Furniture &amp; Fixtures</t>
  </si>
  <si>
    <t>Office Equipment</t>
  </si>
  <si>
    <t>CURRENT LIABILITIES</t>
  </si>
  <si>
    <t>DUTIES &amp; TAXES</t>
  </si>
  <si>
    <t>ESI PAYABLE</t>
  </si>
  <si>
    <t>PROVIDENT FUNDS PAYABLE</t>
  </si>
  <si>
    <t>PROVISIONS</t>
  </si>
  <si>
    <t>SUNDRY CREDITORS</t>
  </si>
  <si>
    <t>01.04.2015</t>
  </si>
  <si>
    <t>31.03.2016</t>
  </si>
  <si>
    <t>Excess of Income / (Expenditure) from discontinuing operations (before tax)</t>
  </si>
  <si>
    <t>Total Expenses</t>
  </si>
  <si>
    <t>Computer Maintenance</t>
  </si>
  <si>
    <t>Rates &amp; Taxes</t>
  </si>
  <si>
    <t>Sundry Balances w/off</t>
  </si>
  <si>
    <t>Staff Welfare</t>
  </si>
  <si>
    <t xml:space="preserve">Donations &amp; Grants Received </t>
  </si>
  <si>
    <t>Essel Social Welfare Foundation</t>
  </si>
  <si>
    <t>Other Income</t>
  </si>
  <si>
    <t>Total Income</t>
  </si>
  <si>
    <t>Net Income / (Expenditure)</t>
  </si>
  <si>
    <t>FIXED ASSETS: GRANT FUNDS 2015-16</t>
  </si>
  <si>
    <t>FIXED ASSETS: GRANT FUNDS 2014-15</t>
  </si>
  <si>
    <t>Note 6A</t>
  </si>
  <si>
    <t>FIXED ASSETS: OWN FUNDS 2015-16</t>
  </si>
  <si>
    <t>FIXED ASSETS: OWN FUNDS 2014-15</t>
  </si>
  <si>
    <t>TOTAL FIXED ASSETS 2014-15</t>
  </si>
  <si>
    <t>FIXED ASSETS: GROSS 2015-16</t>
  </si>
  <si>
    <t>FIXED ASSETS: GRANT FUNDS 2014-15 - DEPRECIATION FOR FY 2015-16</t>
  </si>
  <si>
    <t>TOTAL FIXED ASSETS 2015-16</t>
  </si>
  <si>
    <t>deprn in I&amp;E</t>
  </si>
  <si>
    <t>deprn to Asset Reserve</t>
  </si>
  <si>
    <t>to charge to Asset Reserve</t>
  </si>
  <si>
    <t>as shown in I&amp;E of 2014 2015</t>
  </si>
  <si>
    <t>to show in last year I &amp;E (reclassfied)</t>
  </si>
  <si>
    <t>Restricted Funds</t>
  </si>
  <si>
    <t>Unrestricted Funds</t>
  </si>
  <si>
    <t>Infrastructure Purchases From Restricted Funds</t>
  </si>
  <si>
    <t>2014-15</t>
  </si>
  <si>
    <t>2015-16</t>
  </si>
  <si>
    <t>2016-17</t>
  </si>
  <si>
    <t>FY</t>
  </si>
  <si>
    <t>6A</t>
  </si>
  <si>
    <t>Utilised for Expenses</t>
  </si>
  <si>
    <t>Utilised for Asset Purchases</t>
  </si>
  <si>
    <t>Excess of Income / (Expenditure) before extraordinary items and tax</t>
  </si>
  <si>
    <t>Excess of Income / (Expenditure) before working capital changes</t>
  </si>
  <si>
    <t>ESI CO CONTRIBUTION PAYABLE</t>
  </si>
  <si>
    <t>ESI EMPLOYEE CONTRIBUTION PAYABLE</t>
  </si>
  <si>
    <t>depn</t>
  </si>
  <si>
    <t>depn revd</t>
  </si>
  <si>
    <t>grant</t>
  </si>
  <si>
    <t>suf</t>
  </si>
  <si>
    <t>def grant</t>
  </si>
  <si>
    <t>def grant revd</t>
  </si>
  <si>
    <t>total</t>
  </si>
  <si>
    <t>Depn a/c bal</t>
  </si>
  <si>
    <t>depn diff</t>
  </si>
  <si>
    <t>def grnt diff</t>
  </si>
  <si>
    <t>Professional Charges</t>
  </si>
  <si>
    <t>FY 2014-15</t>
  </si>
  <si>
    <t>Grant</t>
  </si>
  <si>
    <t>Comp</t>
  </si>
  <si>
    <t>S/w</t>
  </si>
  <si>
    <t>Almirah</t>
  </si>
  <si>
    <t>Chairs</t>
  </si>
  <si>
    <t>Fan</t>
  </si>
  <si>
    <t>Light</t>
  </si>
  <si>
    <t>Tables</t>
  </si>
  <si>
    <t>Off infr</t>
  </si>
  <si>
    <t>FF</t>
  </si>
  <si>
    <t>Total Comp</t>
  </si>
  <si>
    <t>Total FF</t>
  </si>
  <si>
    <t>Biometric</t>
  </si>
  <si>
    <t>Recorder</t>
  </si>
  <si>
    <t>Router</t>
  </si>
  <si>
    <t>Stabiliser</t>
  </si>
  <si>
    <t>Teleph</t>
  </si>
  <si>
    <t>Tv</t>
  </si>
  <si>
    <t>usb</t>
  </si>
  <si>
    <t>ups</t>
  </si>
  <si>
    <t>Total OE</t>
  </si>
  <si>
    <t>SUF</t>
  </si>
  <si>
    <t>Total Depn</t>
  </si>
  <si>
    <t>Depn Revd</t>
  </si>
  <si>
    <t>trfd to def grant</t>
  </si>
  <si>
    <t>FY 2015-16 local</t>
  </si>
  <si>
    <t>FY 2015-16 fcra</t>
  </si>
  <si>
    <t>Air con</t>
  </si>
  <si>
    <t>Camera</t>
  </si>
  <si>
    <t>Coffee Maker</t>
  </si>
  <si>
    <t>Water Cooler</t>
  </si>
  <si>
    <t>FA Particulars</t>
  </si>
  <si>
    <t>Total Grant</t>
  </si>
  <si>
    <t>gen fund - FA</t>
  </si>
  <si>
    <t>gen fund - depn</t>
  </si>
  <si>
    <t>gen fund revd</t>
  </si>
  <si>
    <t>SN</t>
  </si>
  <si>
    <t>WDV</t>
  </si>
  <si>
    <t>Prior Period Adjustments for Depreciation</t>
  </si>
  <si>
    <t>Fixed Asset Purchases</t>
  </si>
  <si>
    <t>Opening Balances:</t>
  </si>
  <si>
    <t>RECEIPTS:</t>
  </si>
  <si>
    <t>PAYMENTS:</t>
  </si>
  <si>
    <t>Closing Balances:</t>
  </si>
  <si>
    <t>As per our report of even date.</t>
  </si>
  <si>
    <t>Salary</t>
  </si>
  <si>
    <t>Cash flow from extraordinary items / prior period adjustments</t>
  </si>
  <si>
    <t>Grant Assets Expensed</t>
  </si>
  <si>
    <t>Partner</t>
  </si>
  <si>
    <t>For and on behalf of the Board of Directors</t>
  </si>
  <si>
    <t>The Boeing Company Ltd</t>
  </si>
  <si>
    <t>Loss on sale / discarding of asset</t>
  </si>
  <si>
    <t>Op. Bal</t>
  </si>
  <si>
    <t>Cl. Bal</t>
  </si>
  <si>
    <t>Total Depreciation for the year</t>
  </si>
  <si>
    <t>Centre Setup &amp; Shifting Expenses</t>
  </si>
  <si>
    <t>Social Service Project Expenses</t>
  </si>
  <si>
    <t>Consultancy Charges for Technical Training</t>
  </si>
  <si>
    <t>Group Summary</t>
  </si>
  <si>
    <t>Receipts</t>
  </si>
  <si>
    <t>Payments</t>
  </si>
  <si>
    <t>Exps</t>
  </si>
  <si>
    <t>FA</t>
  </si>
  <si>
    <t>Recruitment Expenses</t>
  </si>
  <si>
    <t>GAYATHRI ENTERPRISES</t>
  </si>
  <si>
    <t>SUF GROUP 2019 2020</t>
  </si>
  <si>
    <t>1-Apr-2019 to 31-Mar-2020</t>
  </si>
  <si>
    <t>EZON ENERGY SOLUTION PVT LTD</t>
  </si>
  <si>
    <t>NANDHA KUMAR(SELVAM CHIDAMBARAM)</t>
  </si>
  <si>
    <t>NEW FIVE STAR AGENCY (DINDIGUL)</t>
  </si>
  <si>
    <t>PREMIERE POWER CONTROLS (DINDIGUL)</t>
  </si>
  <si>
    <t>SAKTHIVEL C (DINDIGUL)</t>
  </si>
  <si>
    <t>SK AIRSYSTEMS</t>
  </si>
  <si>
    <t>Playablo Expenses</t>
  </si>
  <si>
    <t>portea</t>
  </si>
  <si>
    <t>2019-2020</t>
  </si>
  <si>
    <t>2018-2019</t>
  </si>
  <si>
    <t>2017-2018</t>
  </si>
  <si>
    <t>Operations Expenses</t>
  </si>
  <si>
    <t>Total Surplus</t>
  </si>
  <si>
    <t>No of youth - Unnati</t>
  </si>
  <si>
    <t>No of youth - UNXT</t>
  </si>
  <si>
    <t>No of staff</t>
  </si>
  <si>
    <t>Fees</t>
  </si>
  <si>
    <t>Interest Income</t>
  </si>
  <si>
    <t>IBM Program Expenses</t>
  </si>
  <si>
    <t>Transactions</t>
  </si>
  <si>
    <t>FEATHERLITE PRODUCTS PVT LTD</t>
  </si>
  <si>
    <t>GALAXY POWER SYSTEMS (CHIDAMBARAM)</t>
  </si>
  <si>
    <t>JAI MEENAKSHI FURNITURE (MADURAI)</t>
  </si>
  <si>
    <t>JAYA TRADING COMPANY ( MADURAI)</t>
  </si>
  <si>
    <t>M/S DOVETAIL FURNITURE PVT  LTD (BANGALORE - HO)</t>
  </si>
  <si>
    <t>NEW JOICE FURNITURE ( MADURAI)</t>
  </si>
  <si>
    <t>NOOTHANAM (CHIDAMBARAM)</t>
  </si>
  <si>
    <t>PANACEA INNOVATIVE TECHNOLOGIES</t>
  </si>
  <si>
    <t>P C FURNITURE LAND (MADURAI)</t>
  </si>
  <si>
    <t>SARASWATI GLASS PLYWOOD (THIRUVANNAMALAI)</t>
  </si>
  <si>
    <t>SATHIYA STEEL INDUSTRIES (THIRUVANNAMALAI)</t>
  </si>
  <si>
    <t>SHIVA ELECTRONICS (TIRUVANNAMALAI)</t>
  </si>
  <si>
    <t>SHRIRAM BATTERY SERVICE (TIRUVANNAMALAI)</t>
  </si>
  <si>
    <t>SREE RAJA METAL STORE (REDHILLS)</t>
  </si>
  <si>
    <t>SRI AMBAL TRADE (MADURAI)</t>
  </si>
  <si>
    <t>SURESH (AL -TECH COMPUTERS) MADURAI</t>
  </si>
  <si>
    <t>SWASTIK MARKETING</t>
  </si>
  <si>
    <t>VARDHMAN COMPUTRONIX</t>
  </si>
  <si>
    <t>WEATHER MAKER ( MADURAI)</t>
  </si>
  <si>
    <t>Total FA</t>
  </si>
  <si>
    <t>FA for R&amp;P</t>
  </si>
  <si>
    <t>Outreach Expenses</t>
  </si>
  <si>
    <t>MUFG Bank Ltd</t>
  </si>
  <si>
    <t>Intertrust Videos India</t>
  </si>
  <si>
    <t>Microchip Tech (I) Pvt Ltd</t>
  </si>
  <si>
    <t>Omega Healthcare Management Services</t>
  </si>
  <si>
    <t>FY 2021-2022</t>
  </si>
  <si>
    <t>Tata Power Delhi Distribution Ltd</t>
  </si>
  <si>
    <t>Asset Purchases From Restricted Funds</t>
  </si>
  <si>
    <t>Staff Training, Recruitment &amp; HR Expenses</t>
  </si>
  <si>
    <t>Closing</t>
  </si>
  <si>
    <t>Expense head</t>
  </si>
  <si>
    <t>Paid On</t>
  </si>
  <si>
    <t>09-04-2022, 13-04-2022</t>
  </si>
  <si>
    <t>Comp - grant (tata power extra bill)</t>
  </si>
  <si>
    <t>06-04-2022, 13-04-2022</t>
  </si>
  <si>
    <t>Staff TRng - 223, social service - 17085, comp - 19</t>
  </si>
  <si>
    <t>Youth Trng Exps</t>
  </si>
  <si>
    <t>audit fees - 2500, mohan vs advance - 5k, prof chgs - 2400, fin consul - 10300</t>
  </si>
  <si>
    <t>Advance to creditors added to application, to be reduced from application of FY 2022-2023</t>
  </si>
  <si>
    <t>FY 2022-2023</t>
  </si>
  <si>
    <t xml:space="preserve">Broadridge </t>
  </si>
  <si>
    <t>Compass India Support Services Pvt Ltd</t>
  </si>
  <si>
    <t>Exxon Mobil</t>
  </si>
  <si>
    <t>Infosys Foundation</t>
  </si>
  <si>
    <t>Societe Generale Global Solutions Centre Pvt Ltd</t>
  </si>
  <si>
    <t>SUF GROUP 2022 2023</t>
  </si>
  <si>
    <t>1-Apr-22 to 31-Mar-23</t>
  </si>
  <si>
    <t>Intek Tapes</t>
  </si>
  <si>
    <t>Nextwealth</t>
  </si>
  <si>
    <t>Finastra</t>
  </si>
  <si>
    <t>Opening</t>
  </si>
  <si>
    <t>Disallowance of</t>
  </si>
  <si>
    <t>Disallowance</t>
  </si>
  <si>
    <t>Prof Tax - Salary</t>
  </si>
  <si>
    <t>TDS - Salary</t>
  </si>
  <si>
    <t>TDS - Rent</t>
  </si>
  <si>
    <t>TDS- Contractors</t>
  </si>
  <si>
    <t>TDS - Professional</t>
  </si>
  <si>
    <t>Audit fees</t>
  </si>
  <si>
    <t>Advance to creditors added to application in FY 2021-2022, to be reduced from application of FY 2022-2023</t>
  </si>
  <si>
    <t>Advance to creditors added to application for FY 2022-2023, to be reduced from application of FY 2023-2024</t>
  </si>
  <si>
    <t>Unpaid / written back</t>
  </si>
  <si>
    <t>Youth training exps only of FY 2022-2023, minus op bal disallowed in FY 2021-2022</t>
  </si>
  <si>
    <t>Youth training exps (vision fly ) - Op bal 3,96,000 , out of which 234000 is written back</t>
  </si>
  <si>
    <t>Short-term loans and advances, fixed deposits</t>
  </si>
  <si>
    <t>AMOUNT (Rs.)</t>
  </si>
  <si>
    <t xml:space="preserve"> Director</t>
  </si>
  <si>
    <t>(b) Corpus Fund</t>
  </si>
  <si>
    <t>Reserves and Earmarked Funds</t>
  </si>
  <si>
    <t>31.03.2024</t>
  </si>
  <si>
    <t>As at 31 March, 2024</t>
  </si>
  <si>
    <t>Year ended 31 March, 2024</t>
  </si>
  <si>
    <t>For the year ended  
31 March, 2024</t>
  </si>
  <si>
    <t>(b) Program Expenses</t>
  </si>
  <si>
    <t>Remuneration to Auditors - Audit Fees</t>
  </si>
  <si>
    <t>Commission</t>
  </si>
  <si>
    <t>Legal Charges</t>
  </si>
  <si>
    <t>Penalty on premature FD withdrawal</t>
  </si>
  <si>
    <t>(i) Audit Fees</t>
  </si>
  <si>
    <t>(ii) Other Services</t>
  </si>
  <si>
    <t>Catering &amp; Pantry Expenses</t>
  </si>
  <si>
    <t>Interest on Unutilised Grants</t>
  </si>
  <si>
    <t>Medical Expenses</t>
  </si>
  <si>
    <t>Training Materials &amp; Other Expenses</t>
  </si>
  <si>
    <t>Training Software</t>
  </si>
  <si>
    <t>Training Partner Expenses</t>
  </si>
  <si>
    <t>Postage, Telephone &amp; Internet Expenses</t>
  </si>
  <si>
    <t>Monitoring &amp; Supervision Cost</t>
  </si>
  <si>
    <t>Donations</t>
  </si>
  <si>
    <t>Grants - CSR</t>
  </si>
  <si>
    <t>Grants - Others</t>
  </si>
  <si>
    <t>Donations - Anonymous</t>
  </si>
  <si>
    <t>(b) Interest on Income Tax Refund</t>
  </si>
  <si>
    <t>(d) Program Income</t>
  </si>
  <si>
    <t xml:space="preserve">   1. Placement Fees</t>
  </si>
  <si>
    <t xml:space="preserve">   2. Youth Training Fee</t>
  </si>
  <si>
    <t>Add: Surplus / (Deficit) for the year</t>
  </si>
  <si>
    <t>(iv) Sundry Creditors, Provisions &amp; Other Payables</t>
  </si>
  <si>
    <t>Closing General Fund Balance</t>
  </si>
  <si>
    <t xml:space="preserve">( a ) Surplus / (Deficit) in Statement of Income &amp; Expenditure </t>
  </si>
  <si>
    <t>Add: Additions during the year</t>
  </si>
  <si>
    <t>Less: Withdrawn during the year</t>
  </si>
  <si>
    <t>Closing Corpus Fund Balance</t>
  </si>
  <si>
    <t>Total Reserves and Surplus</t>
  </si>
  <si>
    <t>Fixed Assets</t>
  </si>
  <si>
    <t>(A) Cash and cash equivalents</t>
  </si>
  <si>
    <t>Total (A)</t>
  </si>
  <si>
    <t>(B) Short-term loans and advances, Deposits etc</t>
  </si>
  <si>
    <t>(c) Other Amounts Receivable</t>
  </si>
  <si>
    <t>Total (B)</t>
  </si>
  <si>
    <t>(iv) Staff Advance</t>
  </si>
  <si>
    <t>Tata Capital Financial Services Ltd</t>
  </si>
  <si>
    <t>Cardinal Health</t>
  </si>
  <si>
    <t>Deloitte Foundation</t>
  </si>
  <si>
    <t>E2E Rail</t>
  </si>
  <si>
    <t>GE BE Pvt Ltd</t>
  </si>
  <si>
    <t>NASDAQ</t>
  </si>
  <si>
    <t>Rubrik</t>
  </si>
  <si>
    <t>Tata Hitachi</t>
  </si>
  <si>
    <t>Tata Power Community Development Trust</t>
  </si>
  <si>
    <t>Unisys India Pvt Ltd</t>
  </si>
  <si>
    <t>GE India Industrial Pvt Ltd</t>
  </si>
  <si>
    <t>Atlas balances</t>
  </si>
  <si>
    <t>Differences</t>
  </si>
  <si>
    <t>Atlas bal</t>
  </si>
  <si>
    <t>Depreciation on deletions reversed</t>
  </si>
  <si>
    <t>INR</t>
  </si>
  <si>
    <t>Total WDV</t>
  </si>
  <si>
    <t>Difference fom B/S</t>
  </si>
  <si>
    <t>Difference from Atlas</t>
  </si>
  <si>
    <t>Deferred grant as per B/S</t>
  </si>
  <si>
    <t>Note 1 Share Capital</t>
  </si>
  <si>
    <t xml:space="preserve">Note 2 Reserves and surplus </t>
  </si>
  <si>
    <t>Note 3 Current liabilities</t>
  </si>
  <si>
    <r>
      <t xml:space="preserve">Excess of Income / (Expenditure) before extraordinary items and tax  (5 </t>
    </r>
    <r>
      <rPr>
        <b/>
        <u/>
        <sz val="11"/>
        <rFont val="Calibri"/>
        <family val="2"/>
        <scheme val="minor"/>
      </rPr>
      <t>+</t>
    </r>
    <r>
      <rPr>
        <b/>
        <sz val="11"/>
        <rFont val="Calibri"/>
        <family val="2"/>
        <scheme val="minor"/>
      </rPr>
      <t xml:space="preserve"> 6)</t>
    </r>
  </si>
  <si>
    <r>
      <t xml:space="preserve">Excess of Income / (Expenditure) before tax  (7 </t>
    </r>
    <r>
      <rPr>
        <b/>
        <u/>
        <sz val="11"/>
        <rFont val="Calibri"/>
        <family val="2"/>
        <scheme val="minor"/>
      </rPr>
      <t>+</t>
    </r>
    <r>
      <rPr>
        <b/>
        <sz val="11"/>
        <rFont val="Calibri"/>
        <family val="2"/>
        <scheme val="minor"/>
      </rPr>
      <t xml:space="preserve"> 8)</t>
    </r>
  </si>
  <si>
    <r>
      <t xml:space="preserve">Excess of Income / (Expenditure) from continuing operations (9 </t>
    </r>
    <r>
      <rPr>
        <b/>
        <u/>
        <sz val="11"/>
        <rFont val="Calibri"/>
        <family val="2"/>
        <scheme val="minor"/>
      </rPr>
      <t>+</t>
    </r>
    <r>
      <rPr>
        <b/>
        <sz val="11"/>
        <rFont val="Calibri"/>
        <family val="2"/>
        <scheme val="minor"/>
      </rPr>
      <t>10)</t>
    </r>
  </si>
  <si>
    <r>
      <t xml:space="preserve">Excess of Income / (Expenditure) from discontinuing operations (12.i </t>
    </r>
    <r>
      <rPr>
        <b/>
        <u/>
        <sz val="11"/>
        <rFont val="Calibri"/>
        <family val="2"/>
        <scheme val="minor"/>
      </rPr>
      <t>+</t>
    </r>
    <r>
      <rPr>
        <b/>
        <sz val="11"/>
        <rFont val="Calibri"/>
        <family val="2"/>
        <scheme val="minor"/>
      </rPr>
      <t xml:space="preserve"> 12.ii </t>
    </r>
    <r>
      <rPr>
        <b/>
        <u/>
        <sz val="11"/>
        <rFont val="Calibri"/>
        <family val="2"/>
        <scheme val="minor"/>
      </rPr>
      <t>+</t>
    </r>
    <r>
      <rPr>
        <b/>
        <sz val="11"/>
        <rFont val="Calibri"/>
        <family val="2"/>
        <scheme val="minor"/>
      </rPr>
      <t xml:space="preserve"> 12.iii)</t>
    </r>
  </si>
  <si>
    <r>
      <t xml:space="preserve">Excess of Income / (Expenditure) for the year (11 </t>
    </r>
    <r>
      <rPr>
        <b/>
        <u/>
        <sz val="11"/>
        <rFont val="Calibri"/>
        <family val="2"/>
        <scheme val="minor"/>
      </rPr>
      <t>+</t>
    </r>
    <r>
      <rPr>
        <b/>
        <sz val="11"/>
        <rFont val="Calibri"/>
        <family val="2"/>
        <scheme val="minor"/>
      </rPr>
      <t xml:space="preserve"> 13)</t>
    </r>
  </si>
  <si>
    <t>Total expenses (4)</t>
  </si>
  <si>
    <t>Note 4 Non-Current Assets</t>
  </si>
  <si>
    <t>Note 5 Current Assets</t>
  </si>
  <si>
    <t>Note 6  Donations &amp; Grants</t>
  </si>
  <si>
    <t>Note 7 Other income</t>
  </si>
  <si>
    <t xml:space="preserve">Opening Balance </t>
  </si>
  <si>
    <t xml:space="preserve">                 (b) Balances with others</t>
  </si>
  <si>
    <t>(i) TDS receivable, Input taxes etc</t>
  </si>
  <si>
    <t>(iii) Rent Deposits</t>
  </si>
  <si>
    <t>Total Current Liabilities</t>
  </si>
  <si>
    <t>Total Non Current Assets</t>
  </si>
  <si>
    <t>Total Current Assets (A+B)</t>
  </si>
  <si>
    <t>Total Donations &amp; Grants</t>
  </si>
  <si>
    <t>Total Other Income</t>
  </si>
  <si>
    <t>Total Program Expenses</t>
  </si>
  <si>
    <t>Total General Expenses</t>
  </si>
  <si>
    <t>Adobe</t>
  </si>
  <si>
    <t>Difference from B/S</t>
  </si>
  <si>
    <t>Non Current Assets</t>
  </si>
  <si>
    <t>For the year ended 31st March, 2024</t>
  </si>
  <si>
    <t>Program Expenses</t>
  </si>
  <si>
    <t>General Expenses</t>
  </si>
  <si>
    <t xml:space="preserve">( c ) Deffered Grant for Fixed Assets </t>
  </si>
  <si>
    <t>(ii) Fixed Deposits (Scheduled Banks) with maturity &gt; 3 months and &lt; 12 months</t>
  </si>
  <si>
    <t>(b) Savings accounts (Scheduled Banks)</t>
  </si>
  <si>
    <t>(c) Fixed Deposits (Scheduled Banks) with maturity &lt; 3 months</t>
  </si>
  <si>
    <t>(a) Fixed Deposits (Scheduled Banks) with maturity &gt; 1 year</t>
  </si>
  <si>
    <t>Housekeeping, Repairs &amp; Maintenance</t>
  </si>
  <si>
    <t>Membership Fees</t>
  </si>
  <si>
    <t>(i) Advance to creditors</t>
  </si>
  <si>
    <t>SSE-ZCZP</t>
  </si>
  <si>
    <t>General &amp; Admin Expenses</t>
  </si>
  <si>
    <t xml:space="preserve">(iii) Statutory remittances (Contributions to PF and ESIC, Withholding Taxes, GST etc.) </t>
  </si>
  <si>
    <t>Salaries, Allowances &amp; Benefits</t>
  </si>
  <si>
    <t>(a) Salaries, Allowances &amp; Benefits</t>
  </si>
  <si>
    <t xml:space="preserve">(b) Issued </t>
  </si>
  <si>
    <t>Figures for the previous year have been regrouped wherever necessary to conform with current year's groupings.</t>
  </si>
  <si>
    <t>Incentives</t>
  </si>
  <si>
    <t>PF &amp; ESIC Contributions</t>
  </si>
  <si>
    <t>Note 8 Salaries, Allowances &amp; Benefits</t>
  </si>
  <si>
    <t>Note 9 Program expenses</t>
  </si>
  <si>
    <t>Note 10 General Expenses</t>
  </si>
  <si>
    <t>Note 11 Previous year's figures</t>
  </si>
  <si>
    <t>(ii) Restricted Fund Balance (Note 12)</t>
  </si>
  <si>
    <t>Note 13</t>
  </si>
  <si>
    <t>Note 13A</t>
  </si>
  <si>
    <t>13&amp;13A</t>
  </si>
  <si>
    <t>Salaries, Allowances, Consultant Fees</t>
  </si>
  <si>
    <t>Remuneration to Auditors:</t>
  </si>
  <si>
    <t>13A</t>
  </si>
  <si>
    <t xml:space="preserve">UDIN: </t>
  </si>
  <si>
    <t>( a ) Interest on SB &amp; FD Accounts (Note 25)</t>
  </si>
  <si>
    <t>Equity shares of INR. 10 each with voting rights</t>
  </si>
  <si>
    <t>- Amount (INR.)</t>
  </si>
  <si>
    <t>Advances &amp; Deposits given</t>
  </si>
  <si>
    <t>As at 31 March, 2025</t>
  </si>
  <si>
    <t>Year ended 31 March, 2025</t>
  </si>
  <si>
    <t>Note 12: Restricted Fund Movement for the year and balance as on 31st March 2025</t>
  </si>
  <si>
    <t>Balance as on 01.04.2024</t>
  </si>
  <si>
    <t>Total Funds for FY 2024-2025</t>
  </si>
  <si>
    <t>Balance as on 31.03.2025</t>
  </si>
  <si>
    <t>Funds Recd during            FY 2024 2025</t>
  </si>
  <si>
    <t>Utilisation for Expenses/Purchase of assets for FY 2024 2025</t>
  </si>
  <si>
    <t>FIXED ASSETS: GRANT FUNDS 2024 2025</t>
  </si>
  <si>
    <t>01.04.2024</t>
  </si>
  <si>
    <t>31.03.2025</t>
  </si>
  <si>
    <t>Op Bal     01.04.2024</t>
  </si>
  <si>
    <t>FY 2024 2025</t>
  </si>
  <si>
    <t>Cl. Bal 31.03.2025</t>
  </si>
  <si>
    <t>Op Bal 01.04.2024</t>
  </si>
  <si>
    <t>Statement of Income and Expenditure for the year ended 31st March 2025</t>
  </si>
  <si>
    <t>For the year ended  
31 March, 2025</t>
  </si>
  <si>
    <t>Balance Sheet as at 31st March, 2025</t>
  </si>
  <si>
    <t xml:space="preserve">   3. Other Training Fees</t>
  </si>
  <si>
    <t>Total as per Trial Balance</t>
  </si>
  <si>
    <t>c/fd</t>
  </si>
  <si>
    <t>Cash Flow Statement for the year ended 31st March, 2025</t>
  </si>
  <si>
    <t>For the year ended 31st March, 2025</t>
  </si>
  <si>
    <t>RECEIPT AND PAYMENT ACCOUNT FOR THE YEAR ENDED 31.03.2025</t>
  </si>
  <si>
    <t>Fund Based Statement of Income and Expenditure for the year ended 31st March 2025</t>
  </si>
  <si>
    <t>For the year ended  31st March, 2025 (INR)</t>
  </si>
  <si>
    <t>HO Cost Allocation</t>
  </si>
  <si>
    <t>( c ) Miscelleneous Receipts</t>
  </si>
  <si>
    <t>Deposits Received</t>
  </si>
  <si>
    <t>Training Software, Impact Tracking &amp; Psychometric Expenses</t>
  </si>
  <si>
    <t>SOCIAL FOUNDATION</t>
  </si>
  <si>
    <t xml:space="preserve">CIN: </t>
  </si>
  <si>
    <t>Address:</t>
  </si>
  <si>
    <t>( d ) Depreciation</t>
  </si>
  <si>
    <t>(c) General &amp; Admin Expenses</t>
  </si>
  <si>
    <t>For Auditor</t>
  </si>
  <si>
    <t xml:space="preserve">ICAI FR No: </t>
  </si>
  <si>
    <t xml:space="preserve">ICAI MRN: </t>
  </si>
  <si>
    <t xml:space="preserve">Place :  </t>
  </si>
  <si>
    <t>Date :</t>
  </si>
  <si>
    <t>Social Foundation</t>
  </si>
  <si>
    <t xml:space="preserve">DIN: </t>
  </si>
  <si>
    <t>DIN:</t>
  </si>
  <si>
    <t>ICAI MRN:</t>
  </si>
  <si>
    <t xml:space="preserve">Date : </t>
  </si>
  <si>
    <t>ABC Company</t>
  </si>
  <si>
    <t>XYZ Trust</t>
  </si>
  <si>
    <t>PQR Ltd</t>
  </si>
  <si>
    <t>FIXED ASSETS: SELF FUNDED 2024 2025</t>
  </si>
  <si>
    <t>Bank - 1 - Local</t>
  </si>
  <si>
    <t>Bank 2 - FCRA</t>
  </si>
  <si>
    <t>for Auditor</t>
  </si>
  <si>
    <t xml:space="preserve">FRNo. </t>
  </si>
  <si>
    <t xml:space="preserve">Place: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</si>
</sst>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3" formatCode="_ * #,##0.00_ ;_ * \-#,##0.00_ ;_ * &quot;-&quot;??_ ;_ @_ "/>
    <numFmt numFmtId="164" formatCode="_(* #,##0.00_);_(* \(#,##0.00\);_(* &quot;-&quot;??_);_(@_)"/>
    <numFmt numFmtId="165" formatCode="_ * #,##0.00_)\ _$_ ;_ * \(#,##0.00\)\ _$_ ;_ * &quot;-&quot;??_)\ _$_ ;_ @_ "/>
    <numFmt numFmtId="166" formatCode="_(* #,##0_);_(* \(#,##0\);_(* &quot;-&quot;??_);_(@_)"/>
    <numFmt numFmtId="167" formatCode="[$-409]d/mmm/yy;@"/>
    <numFmt numFmtId="168" formatCode="0.00_);\(0.00\)"/>
    <numFmt numFmtId="169" formatCode="\:"/>
    <numFmt numFmtId="170" formatCode="&quot;&quot;0.00"/>
    <numFmt numFmtId="171" formatCode="_ * #,##0_ ;_ * \-#,##0_ ;_ * &quot;-&quot;??_ ;_ @_ "/>
    <numFmt numFmtId="172" formatCode="&quot;&quot;0"/>
    <numFmt numFmtId="173" formatCode="[$-F800]dddd\,\ mmmm\ dd\,\ yyyy"/>
    <numFmt numFmtId="174" formatCode="#,##0.00_ ;\-#,##0.00\ "/>
    <numFmt numFmtId="175" formatCode="#,##0_ ;\-#,##0\ "/>
    <numFmt numFmtId="176" formatCode="&quot;&quot;0.00&quot; Cr&quot;"/>
    <numFmt numFmtId="177" formatCode="&quot;&quot;0.00&quot; Dr&quot;"/>
  </numFmts>
  <fonts count="78">
    <font>
      <sz val="11"/>
      <color theme="1"/>
      <name val="Calibri"/>
      <family val="2"/>
      <scheme val="minor"/>
    </font>
    <font>
      <sz val="12"/>
      <color theme="1"/>
      <name val="Calibri"/>
      <family val="2"/>
      <scheme val="minor"/>
    </font>
    <font>
      <sz val="11"/>
      <color theme="1"/>
      <name val="Calibri"/>
      <family val="2"/>
      <scheme val="minor"/>
    </font>
    <font>
      <sz val="10"/>
      <color indexed="8"/>
      <name val="Arial"/>
      <family val="2"/>
    </font>
    <font>
      <sz val="10"/>
      <name val="Arial"/>
      <family val="2"/>
    </font>
    <font>
      <b/>
      <sz val="10"/>
      <name val="Arial"/>
      <family val="2"/>
    </font>
    <font>
      <sz val="11"/>
      <color indexed="8"/>
      <name val="Calibri"/>
      <family val="2"/>
    </font>
    <font>
      <b/>
      <sz val="10"/>
      <name val="Rupee Foradian"/>
      <family val="2"/>
    </font>
    <font>
      <sz val="10"/>
      <color theme="1"/>
      <name val="Arial"/>
      <family val="2"/>
    </font>
    <font>
      <u/>
      <sz val="10"/>
      <color indexed="12"/>
      <name val="Arial"/>
      <family val="2"/>
    </font>
    <font>
      <b/>
      <u/>
      <sz val="10"/>
      <name val="Arial"/>
      <family val="2"/>
    </font>
    <font>
      <b/>
      <sz val="10"/>
      <color theme="1"/>
      <name val="Arial"/>
      <family val="2"/>
    </font>
    <font>
      <sz val="10"/>
      <color theme="1"/>
      <name val="Rupee Foradian"/>
      <family val="2"/>
    </font>
    <font>
      <u/>
      <sz val="10"/>
      <name val="Arial"/>
      <family val="2"/>
    </font>
    <font>
      <b/>
      <sz val="10"/>
      <color indexed="8"/>
      <name val="Arial"/>
      <family val="2"/>
    </font>
    <font>
      <sz val="10"/>
      <name val="Rupee Foradian"/>
      <family val="2"/>
    </font>
    <font>
      <i/>
      <sz val="10"/>
      <name val="Arial"/>
      <family val="2"/>
    </font>
    <font>
      <sz val="10"/>
      <color indexed="8"/>
      <name val="Rupee Foradian"/>
      <family val="2"/>
    </font>
    <font>
      <sz val="10"/>
      <color theme="0"/>
      <name val="Arial"/>
      <family val="2"/>
    </font>
    <font>
      <u/>
      <sz val="11"/>
      <color theme="10"/>
      <name val="Calibri"/>
      <family val="2"/>
    </font>
    <font>
      <u/>
      <sz val="10"/>
      <color theme="1"/>
      <name val="Arial"/>
      <family val="2"/>
    </font>
    <font>
      <b/>
      <sz val="10"/>
      <color rgb="FF0000FF"/>
      <name val="Arial"/>
      <family val="2"/>
    </font>
    <font>
      <sz val="10"/>
      <color rgb="FFFF0000"/>
      <name val="Arial"/>
      <family val="2"/>
    </font>
    <font>
      <b/>
      <sz val="10"/>
      <color rgb="FFFF0000"/>
      <name val="Arial"/>
      <family val="2"/>
    </font>
    <font>
      <b/>
      <sz val="10"/>
      <color rgb="FF000000"/>
      <name val="Arial"/>
      <family val="2"/>
    </font>
    <font>
      <b/>
      <sz val="10"/>
      <color rgb="FF000000"/>
      <name val="Rupee Foradian"/>
      <family val="2"/>
    </font>
    <font>
      <sz val="10"/>
      <color rgb="FF000000"/>
      <name val="Arial"/>
      <family val="2"/>
    </font>
    <font>
      <sz val="16"/>
      <name val="Wingdings"/>
      <charset val="2"/>
    </font>
    <font>
      <sz val="16"/>
      <name val="Webdings"/>
      <family val="1"/>
      <charset val="2"/>
    </font>
    <font>
      <b/>
      <sz val="16"/>
      <name val="Webdings"/>
      <family val="1"/>
      <charset val="2"/>
    </font>
    <font>
      <b/>
      <sz val="14"/>
      <name val="Webdings"/>
      <family val="1"/>
      <charset val="2"/>
    </font>
    <font>
      <b/>
      <sz val="16"/>
      <color indexed="8"/>
      <name val="Wingdings"/>
      <charset val="2"/>
    </font>
    <font>
      <b/>
      <sz val="16"/>
      <name val="Wingdings"/>
      <charset val="2"/>
    </font>
    <font>
      <b/>
      <sz val="16"/>
      <color theme="1"/>
      <name val="Wingdings"/>
      <charset val="2"/>
    </font>
    <font>
      <sz val="16"/>
      <color theme="1"/>
      <name val="Wingdings"/>
      <charset val="2"/>
    </font>
    <font>
      <sz val="16"/>
      <color theme="1"/>
      <name val="Arial"/>
      <family val="2"/>
    </font>
    <font>
      <i/>
      <sz val="9"/>
      <color theme="1"/>
      <name val="Arial"/>
      <family val="2"/>
    </font>
    <font>
      <b/>
      <sz val="9"/>
      <color theme="1"/>
      <name val="Arial"/>
      <family val="2"/>
    </font>
    <font>
      <sz val="9"/>
      <color theme="1"/>
      <name val="Arial"/>
      <family val="2"/>
    </font>
    <font>
      <sz val="10"/>
      <name val="Arial"/>
      <family val="2"/>
    </font>
    <font>
      <sz val="10"/>
      <name val="Bookman Old Style"/>
      <family val="1"/>
    </font>
    <font>
      <b/>
      <sz val="10"/>
      <name val="Bookman Old Style"/>
      <family val="1"/>
    </font>
    <font>
      <sz val="10"/>
      <name val="Arial"/>
      <family val="2"/>
    </font>
    <font>
      <b/>
      <sz val="9"/>
      <name val="Bookman Old Style"/>
      <family val="1"/>
    </font>
    <font>
      <b/>
      <sz val="12"/>
      <color theme="1"/>
      <name val="Arial"/>
      <family val="2"/>
    </font>
    <font>
      <sz val="1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b/>
      <sz val="9"/>
      <color indexed="8"/>
      <name val="Arial"/>
      <family val="2"/>
    </font>
    <font>
      <sz val="9"/>
      <color indexed="8"/>
      <name val="Arial"/>
      <family val="2"/>
    </font>
    <font>
      <i/>
      <sz val="9"/>
      <color indexed="8"/>
      <name val="Arial"/>
      <family val="2"/>
    </font>
    <font>
      <b/>
      <sz val="12"/>
      <color indexed="8"/>
      <name val="Arial"/>
      <family val="2"/>
    </font>
    <font>
      <b/>
      <i/>
      <sz val="9"/>
      <color indexed="8"/>
      <name val="Arial"/>
      <family val="2"/>
    </font>
    <font>
      <b/>
      <sz val="11"/>
      <color indexed="8"/>
      <name val="Calibri"/>
      <family val="2"/>
    </font>
    <font>
      <b/>
      <sz val="11"/>
      <color rgb="FFFF0000"/>
      <name val="Calibri"/>
      <family val="2"/>
    </font>
    <font>
      <b/>
      <i/>
      <sz val="9"/>
      <color rgb="FFFF0000"/>
      <name val="Arial"/>
      <family val="2"/>
    </font>
    <font>
      <b/>
      <sz val="9"/>
      <color rgb="FFFF0000"/>
      <name val="Arial"/>
      <family val="2"/>
    </font>
    <font>
      <sz val="11"/>
      <color theme="3" tint="0.39997558519241921"/>
      <name val="Calibri"/>
      <family val="2"/>
    </font>
    <font>
      <b/>
      <sz val="11"/>
      <color theme="3" tint="0.39997558519241921"/>
      <name val="Calibri"/>
      <family val="2"/>
    </font>
    <font>
      <b/>
      <sz val="9"/>
      <color theme="3" tint="0.39997558519241921"/>
      <name val="Arial"/>
      <family val="2"/>
    </font>
    <font>
      <sz val="11"/>
      <color rgb="FFFF0000"/>
      <name val="Calibri"/>
      <family val="2"/>
    </font>
    <font>
      <b/>
      <sz val="9"/>
      <color rgb="FF00B050"/>
      <name val="Arial"/>
      <family val="2"/>
    </font>
    <font>
      <b/>
      <sz val="11"/>
      <color rgb="FF00B050"/>
      <name val="Calibri"/>
      <family val="2"/>
    </font>
    <font>
      <sz val="9"/>
      <color indexed="81"/>
      <name val="Tahoma"/>
      <family val="2"/>
    </font>
    <font>
      <b/>
      <sz val="9"/>
      <color indexed="81"/>
      <name val="Tahoma"/>
      <family val="2"/>
    </font>
    <font>
      <b/>
      <sz val="12"/>
      <name val="Calibri"/>
      <family val="2"/>
      <scheme val="minor"/>
    </font>
    <font>
      <b/>
      <sz val="9"/>
      <name val="Calibri"/>
      <family val="2"/>
      <scheme val="minor"/>
    </font>
    <font>
      <b/>
      <u/>
      <sz val="11"/>
      <name val="Calibri"/>
      <family val="2"/>
      <scheme val="minor"/>
    </font>
    <font>
      <b/>
      <sz val="11"/>
      <color indexed="8"/>
      <name val="Calibri"/>
      <family val="2"/>
      <scheme val="minor"/>
    </font>
    <font>
      <sz val="11"/>
      <color indexed="8"/>
      <name val="Calibri"/>
      <family val="2"/>
      <scheme val="minor"/>
    </font>
    <font>
      <i/>
      <sz val="11"/>
      <name val="Calibri"/>
      <family val="2"/>
      <scheme val="minor"/>
    </font>
    <font>
      <b/>
      <sz val="12"/>
      <color indexed="8"/>
      <name val="Calibri"/>
      <family val="2"/>
      <scheme val="minor"/>
    </font>
    <font>
      <i/>
      <u/>
      <sz val="11"/>
      <color theme="1"/>
      <name val="Calibri"/>
      <family val="2"/>
      <scheme val="minor"/>
    </font>
    <font>
      <i/>
      <sz val="11"/>
      <color theme="1"/>
      <name val="Calibri"/>
      <family val="2"/>
      <scheme val="minor"/>
    </font>
    <font>
      <sz val="11"/>
      <color theme="0"/>
      <name val="Calibri"/>
      <family val="2"/>
      <scheme val="minor"/>
    </font>
    <font>
      <b/>
      <sz val="11"/>
      <color theme="0"/>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s>
  <borders count="1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right/>
      <top style="thin">
        <color indexed="64"/>
      </top>
      <bottom style="double">
        <color indexed="64"/>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diagonal/>
    </border>
    <border>
      <left/>
      <right/>
      <top/>
      <bottom style="hair">
        <color auto="1"/>
      </bottom>
      <diagonal/>
    </border>
    <border>
      <left/>
      <right/>
      <top style="hair">
        <color auto="1"/>
      </top>
      <bottom style="hair">
        <color auto="1"/>
      </bottom>
      <diagonal/>
    </border>
    <border>
      <left style="thin">
        <color indexed="64"/>
      </left>
      <right style="thin">
        <color indexed="64"/>
      </right>
      <top/>
      <bottom style="hair">
        <color auto="1"/>
      </bottom>
      <diagonal/>
    </border>
    <border>
      <left/>
      <right/>
      <top style="hair">
        <color auto="1"/>
      </top>
      <bottom/>
      <diagonal/>
    </border>
    <border>
      <left/>
      <right style="medium">
        <color indexed="64"/>
      </right>
      <top/>
      <bottom style="hair">
        <color auto="1"/>
      </bottom>
      <diagonal/>
    </border>
    <border>
      <left/>
      <right style="medium">
        <color indexed="64"/>
      </right>
      <top style="hair">
        <color auto="1"/>
      </top>
      <bottom style="hair">
        <color auto="1"/>
      </bottom>
      <diagonal/>
    </border>
    <border>
      <left/>
      <right style="medium">
        <color indexed="64"/>
      </right>
      <top style="hair">
        <color auto="1"/>
      </top>
      <bottom/>
      <diagonal/>
    </border>
    <border>
      <left style="medium">
        <color indexed="64"/>
      </left>
      <right style="medium">
        <color indexed="64"/>
      </right>
      <top/>
      <bottom style="hair">
        <color auto="1"/>
      </bottom>
      <diagonal/>
    </border>
    <border>
      <left style="medium">
        <color indexed="64"/>
      </left>
      <right style="medium">
        <color indexed="64"/>
      </right>
      <top style="hair">
        <color auto="1"/>
      </top>
      <bottom style="hair">
        <color auto="1"/>
      </bottom>
      <diagonal/>
    </border>
    <border>
      <left style="medium">
        <color indexed="64"/>
      </left>
      <right style="medium">
        <color indexed="64"/>
      </right>
      <top style="hair">
        <color auto="1"/>
      </top>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bottom/>
      <diagonal/>
    </border>
    <border>
      <left/>
      <right/>
      <top/>
      <bottom style="thin">
        <color auto="1"/>
      </bottom>
      <diagonal/>
    </border>
    <border>
      <left/>
      <right/>
      <top style="thin">
        <color auto="1"/>
      </top>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medium">
        <color indexed="64"/>
      </right>
      <top style="thin">
        <color indexed="64"/>
      </top>
      <bottom style="double">
        <color indexed="64"/>
      </bottom>
      <diagonal/>
    </border>
  </borders>
  <cellStyleXfs count="23">
    <xf numFmtId="0" fontId="0" fillId="0" borderId="0"/>
    <xf numFmtId="43" fontId="6" fillId="0" borderId="0" applyFont="0" applyFill="0" applyBorder="0" applyAlignment="0" applyProtection="0"/>
    <xf numFmtId="0" fontId="9" fillId="0" borderId="0" applyNumberFormat="0" applyFill="0" applyBorder="0" applyAlignment="0" applyProtection="0">
      <alignment vertical="top"/>
      <protection locked="0"/>
    </xf>
    <xf numFmtId="43" fontId="4" fillId="0" borderId="0" applyFont="0" applyFill="0" applyBorder="0" applyAlignment="0" applyProtection="0"/>
    <xf numFmtId="165" fontId="4" fillId="0" borderId="0" applyFont="0" applyFill="0" applyBorder="0" applyAlignment="0" applyProtection="0"/>
    <xf numFmtId="0" fontId="4" fillId="0" borderId="0"/>
    <xf numFmtId="167" fontId="6" fillId="0" borderId="0"/>
    <xf numFmtId="43" fontId="4" fillId="0" borderId="0" applyFont="0" applyFill="0" applyBorder="0" applyAlignment="0" applyProtection="0"/>
    <xf numFmtId="0" fontId="19" fillId="0" borderId="0" applyNumberFormat="0" applyFill="0" applyBorder="0" applyAlignment="0" applyProtection="0">
      <alignment vertical="top"/>
      <protection locked="0"/>
    </xf>
    <xf numFmtId="0" fontId="2" fillId="0" borderId="0"/>
    <xf numFmtId="0" fontId="4" fillId="0" borderId="0"/>
    <xf numFmtId="9" fontId="4" fillId="0" borderId="0" applyFont="0" applyFill="0" applyBorder="0" applyAlignment="0" applyProtection="0"/>
    <xf numFmtId="0" fontId="39" fillId="0" borderId="0"/>
    <xf numFmtId="164" fontId="39" fillId="0" borderId="0" applyFont="0" applyFill="0" applyBorder="0" applyAlignment="0" applyProtection="0"/>
    <xf numFmtId="164" fontId="4" fillId="0" borderId="0" applyFont="0" applyFill="0" applyBorder="0" applyAlignment="0" applyProtection="0"/>
    <xf numFmtId="0" fontId="6" fillId="0" borderId="0" applyFont="0" applyFill="0" applyBorder="0" applyAlignment="0" applyProtection="0"/>
    <xf numFmtId="164" fontId="2" fillId="0" borderId="0" applyFont="0" applyFill="0" applyBorder="0" applyAlignment="0" applyProtection="0"/>
    <xf numFmtId="0" fontId="2" fillId="0" borderId="0"/>
    <xf numFmtId="0" fontId="42" fillId="0" borderId="0"/>
    <xf numFmtId="164" fontId="42" fillId="0" borderId="0" applyFont="0" applyFill="0" applyBorder="0" applyAlignment="0" applyProtection="0"/>
    <xf numFmtId="9" fontId="2" fillId="0" borderId="0" applyFont="0" applyFill="0" applyBorder="0" applyAlignment="0" applyProtection="0"/>
    <xf numFmtId="164" fontId="6" fillId="0" borderId="0" applyFont="0" applyFill="0" applyBorder="0" applyAlignment="0" applyProtection="0"/>
    <xf numFmtId="0" fontId="1" fillId="0" borderId="0"/>
  </cellStyleXfs>
  <cellXfs count="1625">
    <xf numFmtId="0" fontId="0" fillId="0" borderId="0" xfId="0"/>
    <xf numFmtId="0" fontId="3" fillId="0" borderId="0" xfId="0" applyFont="1" applyAlignment="1">
      <alignment vertical="top"/>
    </xf>
    <xf numFmtId="0" fontId="3" fillId="0" borderId="5" xfId="0" applyFont="1" applyBorder="1" applyAlignment="1">
      <alignment vertical="top"/>
    </xf>
    <xf numFmtId="0" fontId="3" fillId="0" borderId="0" xfId="0" applyFont="1" applyAlignment="1">
      <alignment vertical="top" wrapText="1"/>
    </xf>
    <xf numFmtId="0" fontId="4" fillId="0" borderId="0" xfId="0" applyFont="1" applyAlignment="1">
      <alignment vertical="top"/>
    </xf>
    <xf numFmtId="0" fontId="5" fillId="0" borderId="0" xfId="0" applyFont="1" applyAlignment="1">
      <alignment vertical="top"/>
    </xf>
    <xf numFmtId="0" fontId="5" fillId="0" borderId="27" xfId="0" applyFont="1" applyBorder="1" applyAlignment="1">
      <alignment horizontal="center" vertical="top" wrapText="1"/>
    </xf>
    <xf numFmtId="0" fontId="5" fillId="0" borderId="28" xfId="0" applyFont="1" applyBorder="1" applyAlignment="1">
      <alignment horizontal="center" vertical="top" wrapText="1"/>
    </xf>
    <xf numFmtId="0" fontId="5" fillId="0" borderId="19" xfId="0" applyFont="1" applyBorder="1" applyAlignment="1">
      <alignment horizontal="center" vertical="top"/>
    </xf>
    <xf numFmtId="0" fontId="5" fillId="0" borderId="18" xfId="0" applyFont="1" applyBorder="1" applyAlignment="1">
      <alignment horizontal="center" vertical="top" wrapText="1"/>
    </xf>
    <xf numFmtId="43" fontId="7" fillId="0" borderId="13" xfId="1" applyFont="1" applyFill="1" applyBorder="1" applyAlignment="1">
      <alignment horizontal="center" vertical="center"/>
    </xf>
    <xf numFmtId="43" fontId="7" fillId="0" borderId="31" xfId="1" applyFont="1" applyFill="1" applyBorder="1" applyAlignment="1">
      <alignment horizontal="center" vertical="center"/>
    </xf>
    <xf numFmtId="0" fontId="4" fillId="0" borderId="32" xfId="0" applyFont="1" applyBorder="1" applyAlignment="1">
      <alignment vertical="top"/>
    </xf>
    <xf numFmtId="0" fontId="4" fillId="0" borderId="15" xfId="0" applyFont="1" applyBorder="1" applyAlignment="1">
      <alignment vertical="top"/>
    </xf>
    <xf numFmtId="0" fontId="4" fillId="0" borderId="16" xfId="0" applyFont="1" applyBorder="1" applyAlignment="1">
      <alignment horizontal="center" vertical="top"/>
    </xf>
    <xf numFmtId="0" fontId="5" fillId="0" borderId="36" xfId="0" applyFont="1" applyBorder="1" applyAlignment="1">
      <alignment vertical="top"/>
    </xf>
    <xf numFmtId="0" fontId="4" fillId="0" borderId="22" xfId="0" applyFont="1" applyBorder="1" applyAlignment="1">
      <alignment vertical="top"/>
    </xf>
    <xf numFmtId="0" fontId="4" fillId="0" borderId="21" xfId="0" applyFont="1" applyBorder="1" applyAlignment="1">
      <alignment horizontal="center" vertical="top"/>
    </xf>
    <xf numFmtId="0" fontId="4" fillId="0" borderId="21" xfId="0" applyFont="1" applyBorder="1" applyAlignment="1">
      <alignment vertical="top"/>
    </xf>
    <xf numFmtId="0" fontId="4" fillId="0" borderId="5" xfId="0" applyFont="1" applyBorder="1" applyAlignment="1">
      <alignment vertical="top"/>
    </xf>
    <xf numFmtId="0" fontId="8" fillId="0" borderId="0" xfId="0" applyFont="1" applyAlignment="1">
      <alignment vertical="top"/>
    </xf>
    <xf numFmtId="0" fontId="4" fillId="0" borderId="36" xfId="0" applyFont="1" applyBorder="1" applyAlignment="1">
      <alignment vertical="top"/>
    </xf>
    <xf numFmtId="0" fontId="4" fillId="0" borderId="0" xfId="0" applyFont="1" applyAlignment="1">
      <alignment horizontal="center" vertical="top"/>
    </xf>
    <xf numFmtId="0" fontId="4" fillId="0" borderId="44" xfId="0" applyFont="1" applyBorder="1" applyAlignment="1">
      <alignment horizontal="center" vertical="top"/>
    </xf>
    <xf numFmtId="0" fontId="4" fillId="0" borderId="45" xfId="0" applyFont="1" applyBorder="1" applyAlignment="1">
      <alignment vertical="top"/>
    </xf>
    <xf numFmtId="43" fontId="7" fillId="0" borderId="46" xfId="1" applyFont="1" applyFill="1" applyBorder="1" applyAlignment="1">
      <alignment horizontal="center" vertical="center"/>
    </xf>
    <xf numFmtId="0" fontId="4" fillId="0" borderId="18" xfId="0" applyFont="1" applyBorder="1" applyAlignment="1">
      <alignment vertical="top"/>
    </xf>
    <xf numFmtId="0" fontId="5" fillId="0" borderId="36" xfId="0" applyFont="1" applyBorder="1" applyAlignment="1">
      <alignment horizontal="left" vertical="top"/>
    </xf>
    <xf numFmtId="0" fontId="5" fillId="0" borderId="36" xfId="0" applyFont="1" applyBorder="1" applyAlignment="1">
      <alignment horizontal="left" vertical="top" wrapText="1"/>
    </xf>
    <xf numFmtId="0" fontId="5" fillId="0" borderId="36" xfId="0" applyFont="1" applyBorder="1" applyAlignment="1">
      <alignment vertical="top" wrapText="1"/>
    </xf>
    <xf numFmtId="0" fontId="4" fillId="0" borderId="32" xfId="0" applyFont="1" applyBorder="1" applyAlignment="1">
      <alignment vertical="top" wrapText="1"/>
    </xf>
    <xf numFmtId="0" fontId="4" fillId="0" borderId="46" xfId="0" applyFont="1" applyBorder="1" applyAlignment="1">
      <alignment vertical="top"/>
    </xf>
    <xf numFmtId="0" fontId="4" fillId="0" borderId="40" xfId="0" applyFont="1" applyBorder="1" applyAlignment="1">
      <alignment vertical="top"/>
    </xf>
    <xf numFmtId="0" fontId="4" fillId="0" borderId="0" xfId="5" applyAlignment="1">
      <alignment vertical="top"/>
    </xf>
    <xf numFmtId="0" fontId="4" fillId="0" borderId="32" xfId="5" applyBorder="1" applyAlignment="1">
      <alignment vertical="top" wrapText="1"/>
    </xf>
    <xf numFmtId="0" fontId="4" fillId="0" borderId="22" xfId="5" applyBorder="1" applyAlignment="1">
      <alignment vertical="top"/>
    </xf>
    <xf numFmtId="0" fontId="4" fillId="0" borderId="5" xfId="5" applyBorder="1" applyAlignment="1">
      <alignment vertical="top"/>
    </xf>
    <xf numFmtId="0" fontId="4" fillId="0" borderId="32" xfId="5" applyBorder="1" applyAlignment="1">
      <alignment vertical="top"/>
    </xf>
    <xf numFmtId="0" fontId="5" fillId="0" borderId="18" xfId="5" applyFont="1" applyBorder="1" applyAlignment="1">
      <alignment vertical="top"/>
    </xf>
    <xf numFmtId="0" fontId="4" fillId="0" borderId="45" xfId="5" applyBorder="1" applyAlignment="1">
      <alignment vertical="top"/>
    </xf>
    <xf numFmtId="0" fontId="4" fillId="0" borderId="12" xfId="5" applyBorder="1" applyAlignment="1">
      <alignment vertical="top"/>
    </xf>
    <xf numFmtId="0" fontId="5" fillId="0" borderId="0" xfId="5" applyFont="1" applyAlignment="1">
      <alignment vertical="top"/>
    </xf>
    <xf numFmtId="0" fontId="4" fillId="0" borderId="0" xfId="5" applyAlignment="1">
      <alignment vertical="top" wrapText="1"/>
    </xf>
    <xf numFmtId="0" fontId="14" fillId="0" borderId="0" xfId="0" applyFont="1" applyAlignment="1">
      <alignment vertical="top"/>
    </xf>
    <xf numFmtId="0" fontId="14" fillId="0" borderId="0" xfId="0" applyFont="1" applyAlignment="1">
      <alignment horizontal="left" vertical="top"/>
    </xf>
    <xf numFmtId="0" fontId="3" fillId="0" borderId="0" xfId="0" applyFont="1" applyAlignment="1">
      <alignment horizontal="center" vertical="top"/>
    </xf>
    <xf numFmtId="0" fontId="3" fillId="0" borderId="32" xfId="0" applyFont="1" applyBorder="1" applyAlignment="1">
      <alignment vertical="top" wrapText="1"/>
    </xf>
    <xf numFmtId="43" fontId="4" fillId="4" borderId="21" xfId="1" applyFont="1" applyFill="1" applyBorder="1" applyAlignment="1">
      <alignment vertical="top"/>
    </xf>
    <xf numFmtId="0" fontId="3" fillId="0" borderId="21" xfId="0" applyFont="1" applyBorder="1" applyAlignment="1">
      <alignment vertical="top"/>
    </xf>
    <xf numFmtId="0" fontId="3" fillId="0" borderId="32" xfId="0" applyFont="1" applyBorder="1" applyAlignment="1">
      <alignment vertical="top"/>
    </xf>
    <xf numFmtId="43" fontId="4" fillId="4" borderId="12" xfId="1" applyFont="1" applyFill="1" applyBorder="1" applyAlignment="1">
      <alignment vertical="top"/>
    </xf>
    <xf numFmtId="0" fontId="4" fillId="4" borderId="36" xfId="0" applyFont="1" applyFill="1" applyBorder="1" applyAlignment="1">
      <alignment horizontal="left" vertical="top"/>
    </xf>
    <xf numFmtId="0" fontId="3" fillId="0" borderId="12" xfId="0" applyFont="1" applyBorder="1" applyAlignment="1">
      <alignment vertical="top"/>
    </xf>
    <xf numFmtId="43" fontId="4" fillId="4" borderId="15" xfId="1" applyFont="1" applyFill="1" applyBorder="1" applyAlignment="1">
      <alignment vertical="top"/>
    </xf>
    <xf numFmtId="0" fontId="3" fillId="0" borderId="34" xfId="0" applyFont="1" applyBorder="1" applyAlignment="1">
      <alignment vertical="top"/>
    </xf>
    <xf numFmtId="0" fontId="3" fillId="0" borderId="45" xfId="0" applyFont="1" applyBorder="1" applyAlignment="1">
      <alignment vertical="top"/>
    </xf>
    <xf numFmtId="0" fontId="14" fillId="0" borderId="13" xfId="0" applyFont="1" applyBorder="1" applyAlignment="1">
      <alignment horizontal="center" vertical="top" wrapText="1"/>
    </xf>
    <xf numFmtId="0" fontId="3" fillId="0" borderId="21" xfId="0" applyFont="1" applyBorder="1" applyAlignment="1">
      <alignment horizontal="center" vertical="top"/>
    </xf>
    <xf numFmtId="0" fontId="3" fillId="0" borderId="18" xfId="0" applyFont="1" applyBorder="1" applyAlignment="1">
      <alignment horizontal="center" vertical="top"/>
    </xf>
    <xf numFmtId="0" fontId="3" fillId="0" borderId="18" xfId="0" applyFont="1" applyBorder="1" applyAlignment="1">
      <alignment vertical="top"/>
    </xf>
    <xf numFmtId="0" fontId="3" fillId="0" borderId="4" xfId="0" applyFont="1" applyBorder="1" applyAlignment="1">
      <alignment vertical="top"/>
    </xf>
    <xf numFmtId="0" fontId="3" fillId="0" borderId="13" xfId="0" applyFont="1" applyBorder="1" applyAlignment="1">
      <alignment vertical="top"/>
    </xf>
    <xf numFmtId="43" fontId="7" fillId="0" borderId="16" xfId="1" applyFont="1" applyFill="1" applyBorder="1" applyAlignment="1">
      <alignment horizontal="center" vertical="center"/>
    </xf>
    <xf numFmtId="43" fontId="7" fillId="0" borderId="13" xfId="1" applyFont="1" applyFill="1" applyBorder="1" applyAlignment="1">
      <alignment horizontal="center" vertical="center" wrapText="1"/>
    </xf>
    <xf numFmtId="43" fontId="4" fillId="4" borderId="5" xfId="1" applyFont="1" applyFill="1" applyBorder="1" applyAlignment="1">
      <alignment vertical="top"/>
    </xf>
    <xf numFmtId="0" fontId="4" fillId="4" borderId="22" xfId="0" applyFont="1" applyFill="1" applyBorder="1" applyAlignment="1">
      <alignment horizontal="left" vertical="top"/>
    </xf>
    <xf numFmtId="43" fontId="4" fillId="4" borderId="40" xfId="1" applyFont="1" applyFill="1" applyBorder="1" applyAlignment="1">
      <alignment vertical="top"/>
    </xf>
    <xf numFmtId="43" fontId="4" fillId="4" borderId="18" xfId="1" applyFont="1" applyFill="1" applyBorder="1" applyAlignment="1">
      <alignment vertical="top"/>
    </xf>
    <xf numFmtId="0" fontId="14" fillId="0" borderId="0" xfId="0" applyFont="1" applyAlignment="1">
      <alignment horizontal="center" vertical="top"/>
    </xf>
    <xf numFmtId="0" fontId="3" fillId="0" borderId="16" xfId="0" applyFont="1" applyBorder="1" applyAlignment="1">
      <alignment horizontal="center" vertical="top"/>
    </xf>
    <xf numFmtId="0" fontId="18" fillId="0" borderId="0" xfId="0" applyFont="1" applyAlignment="1">
      <alignment vertical="top"/>
    </xf>
    <xf numFmtId="0" fontId="3" fillId="0" borderId="0" xfId="0" applyFont="1" applyAlignment="1">
      <alignment horizontal="center" vertical="top" wrapText="1"/>
    </xf>
    <xf numFmtId="0" fontId="14" fillId="5" borderId="0" xfId="0" applyFont="1" applyFill="1" applyAlignment="1">
      <alignment horizontal="left" vertical="top"/>
    </xf>
    <xf numFmtId="43" fontId="4" fillId="4" borderId="34" xfId="1" applyFont="1" applyFill="1" applyBorder="1" applyAlignment="1">
      <alignment vertical="top"/>
    </xf>
    <xf numFmtId="0" fontId="3" fillId="0" borderId="22" xfId="0" applyFont="1" applyBorder="1" applyAlignment="1">
      <alignment vertical="top"/>
    </xf>
    <xf numFmtId="0" fontId="3" fillId="0" borderId="22" xfId="0" applyFont="1" applyBorder="1" applyAlignment="1">
      <alignment vertical="top" wrapText="1"/>
    </xf>
    <xf numFmtId="0" fontId="3" fillId="0" borderId="22" xfId="0" applyFont="1" applyBorder="1" applyAlignment="1">
      <alignment horizontal="center" vertical="top"/>
    </xf>
    <xf numFmtId="0" fontId="3" fillId="0" borderId="19" xfId="0" applyFont="1" applyBorder="1" applyAlignment="1">
      <alignment vertical="top"/>
    </xf>
    <xf numFmtId="43" fontId="7" fillId="0" borderId="21" xfId="1" applyFont="1" applyFill="1" applyBorder="1" applyAlignment="1">
      <alignment horizontal="center" vertical="center"/>
    </xf>
    <xf numFmtId="0" fontId="14" fillId="6" borderId="0" xfId="0" applyFont="1" applyFill="1" applyAlignment="1">
      <alignment vertical="top"/>
    </xf>
    <xf numFmtId="0" fontId="3" fillId="0" borderId="35" xfId="0" applyFont="1" applyBorder="1" applyAlignment="1">
      <alignment vertical="top" wrapText="1"/>
    </xf>
    <xf numFmtId="0" fontId="3" fillId="0" borderId="22" xfId="0" applyFont="1" applyBorder="1" applyAlignment="1">
      <alignment horizontal="right" vertical="top"/>
    </xf>
    <xf numFmtId="0" fontId="3" fillId="0" borderId="33" xfId="0" applyFont="1" applyBorder="1" applyAlignment="1">
      <alignment vertical="top"/>
    </xf>
    <xf numFmtId="43" fontId="4" fillId="0" borderId="32" xfId="1" applyFont="1" applyFill="1" applyBorder="1" applyAlignment="1">
      <alignment horizontal="left" vertical="top" wrapText="1"/>
    </xf>
    <xf numFmtId="0" fontId="3" fillId="0" borderId="35" xfId="0" applyFont="1" applyBorder="1" applyAlignment="1">
      <alignment vertical="top"/>
    </xf>
    <xf numFmtId="0" fontId="3" fillId="0" borderId="35" xfId="0" applyFont="1" applyBorder="1" applyAlignment="1">
      <alignment horizontal="left" vertical="top" indent="2"/>
    </xf>
    <xf numFmtId="0" fontId="14" fillId="0" borderId="41" xfId="0" applyFont="1" applyBorder="1" applyAlignment="1">
      <alignment horizontal="right" vertical="top"/>
    </xf>
    <xf numFmtId="0" fontId="5" fillId="0" borderId="13" xfId="0" applyFont="1" applyBorder="1" applyAlignment="1">
      <alignment horizontal="center" vertical="top" wrapText="1"/>
    </xf>
    <xf numFmtId="0" fontId="3" fillId="0" borderId="40" xfId="0" applyFont="1" applyBorder="1" applyAlignment="1">
      <alignment vertical="top"/>
    </xf>
    <xf numFmtId="0" fontId="3" fillId="0" borderId="15" xfId="0" applyFont="1" applyBorder="1" applyAlignment="1">
      <alignment vertical="top"/>
    </xf>
    <xf numFmtId="0" fontId="5" fillId="0" borderId="0" xfId="0" applyFont="1" applyAlignment="1">
      <alignment horizontal="left" vertical="top"/>
    </xf>
    <xf numFmtId="0" fontId="5" fillId="6" borderId="0" xfId="0" applyFont="1" applyFill="1" applyAlignment="1">
      <alignment horizontal="left" vertical="top"/>
    </xf>
    <xf numFmtId="0" fontId="4" fillId="0" borderId="22" xfId="0" applyFont="1" applyBorder="1" applyAlignment="1">
      <alignment horizontal="left" vertical="top" indent="1"/>
    </xf>
    <xf numFmtId="0" fontId="4" fillId="0" borderId="13" xfId="0" applyFont="1" applyBorder="1" applyAlignment="1">
      <alignment vertical="top"/>
    </xf>
    <xf numFmtId="0" fontId="18" fillId="0" borderId="0" xfId="5" applyFont="1" applyAlignment="1">
      <alignment vertical="top"/>
    </xf>
    <xf numFmtId="43" fontId="5" fillId="0" borderId="32" xfId="1" applyFont="1" applyFill="1" applyBorder="1" applyAlignment="1">
      <alignment horizontal="left" vertical="top" wrapText="1"/>
    </xf>
    <xf numFmtId="0" fontId="8" fillId="0" borderId="35" xfId="0" applyFont="1" applyBorder="1" applyAlignment="1">
      <alignment vertical="top"/>
    </xf>
    <xf numFmtId="43" fontId="7" fillId="0" borderId="18" xfId="1" applyFont="1" applyFill="1" applyBorder="1" applyAlignment="1">
      <alignment horizontal="center" vertical="center"/>
    </xf>
    <xf numFmtId="43" fontId="7" fillId="0" borderId="9" xfId="1" applyFont="1" applyFill="1" applyBorder="1" applyAlignment="1">
      <alignment horizontal="center" vertical="center"/>
    </xf>
    <xf numFmtId="0" fontId="3" fillId="6" borderId="35" xfId="6" applyNumberFormat="1" applyFont="1" applyFill="1" applyBorder="1" applyAlignment="1">
      <alignment vertical="top"/>
    </xf>
    <xf numFmtId="43" fontId="4" fillId="6" borderId="40" xfId="3" applyFont="1" applyFill="1" applyBorder="1" applyAlignment="1" applyProtection="1">
      <alignment vertical="top"/>
      <protection locked="0"/>
    </xf>
    <xf numFmtId="0" fontId="11" fillId="0" borderId="27" xfId="0" applyFont="1" applyBorder="1" applyAlignment="1">
      <alignment horizontal="center" vertical="top" wrapText="1"/>
    </xf>
    <xf numFmtId="0" fontId="11" fillId="0" borderId="28" xfId="0" applyFont="1" applyBorder="1" applyAlignment="1">
      <alignment horizontal="center" vertical="top" wrapText="1"/>
    </xf>
    <xf numFmtId="0" fontId="3" fillId="0" borderId="39" xfId="0" applyFont="1" applyBorder="1" applyAlignment="1">
      <alignment vertical="top"/>
    </xf>
    <xf numFmtId="0" fontId="3" fillId="0" borderId="35" xfId="0" applyFont="1" applyBorder="1" applyAlignment="1">
      <alignment horizontal="left" vertical="top" wrapText="1"/>
    </xf>
    <xf numFmtId="0" fontId="3" fillId="0" borderId="47" xfId="0" applyFont="1" applyBorder="1" applyAlignment="1">
      <alignment vertical="top"/>
    </xf>
    <xf numFmtId="0" fontId="3" fillId="0" borderId="55" xfId="0" applyFont="1" applyBorder="1" applyAlignment="1">
      <alignment vertical="top"/>
    </xf>
    <xf numFmtId="0" fontId="11" fillId="0" borderId="13" xfId="0" applyFont="1" applyBorder="1" applyAlignment="1">
      <alignment horizontal="center" vertical="top" wrapText="1"/>
    </xf>
    <xf numFmtId="0" fontId="4" fillId="0" borderId="9" xfId="0" applyFont="1" applyBorder="1" applyAlignment="1">
      <alignment vertical="top"/>
    </xf>
    <xf numFmtId="0" fontId="4" fillId="6" borderId="0" xfId="0" applyFont="1" applyFill="1" applyAlignment="1">
      <alignment vertical="top"/>
    </xf>
    <xf numFmtId="43" fontId="21" fillId="6" borderId="0" xfId="5" applyNumberFormat="1" applyFont="1" applyFill="1" applyAlignment="1">
      <alignment horizontal="left" vertical="top"/>
    </xf>
    <xf numFmtId="43" fontId="21" fillId="6" borderId="0" xfId="5" applyNumberFormat="1" applyFont="1" applyFill="1" applyAlignment="1">
      <alignment horizontal="right" vertical="top"/>
    </xf>
    <xf numFmtId="0" fontId="4" fillId="6" borderId="35" xfId="0" applyFont="1" applyFill="1" applyBorder="1" applyAlignment="1" applyProtection="1">
      <alignment vertical="top"/>
      <protection locked="0"/>
    </xf>
    <xf numFmtId="43" fontId="4" fillId="6" borderId="21" xfId="3" applyFont="1" applyFill="1" applyBorder="1" applyAlignment="1" applyProtection="1">
      <alignment vertical="top"/>
      <protection locked="0"/>
    </xf>
    <xf numFmtId="0" fontId="5" fillId="6" borderId="41" xfId="0" applyFont="1" applyFill="1" applyBorder="1" applyAlignment="1">
      <alignment horizontal="right" vertical="top"/>
    </xf>
    <xf numFmtId="43" fontId="5" fillId="0" borderId="47" xfId="5" applyNumberFormat="1" applyFont="1" applyBorder="1" applyAlignment="1">
      <alignment vertical="top"/>
    </xf>
    <xf numFmtId="43" fontId="5" fillId="0" borderId="55" xfId="5" applyNumberFormat="1" applyFont="1" applyBorder="1" applyAlignment="1">
      <alignment vertical="top"/>
    </xf>
    <xf numFmtId="0" fontId="4" fillId="0" borderId="62" xfId="5" applyBorder="1" applyAlignment="1">
      <alignment horizontal="center" vertical="top"/>
    </xf>
    <xf numFmtId="43" fontId="4" fillId="0" borderId="32" xfId="1" applyFont="1" applyFill="1" applyBorder="1" applyAlignment="1">
      <alignment vertical="top" wrapText="1"/>
    </xf>
    <xf numFmtId="0" fontId="3" fillId="0" borderId="33" xfId="0" applyFont="1" applyBorder="1" applyAlignment="1">
      <alignment horizontal="center" vertical="top"/>
    </xf>
    <xf numFmtId="0" fontId="5" fillId="4" borderId="0" xfId="0" applyFont="1" applyFill="1" applyAlignment="1">
      <alignment horizontal="left" vertical="top"/>
    </xf>
    <xf numFmtId="0" fontId="4" fillId="4" borderId="0" xfId="0" applyFont="1" applyFill="1" applyAlignment="1">
      <alignment horizontal="left" vertical="top"/>
    </xf>
    <xf numFmtId="43" fontId="4" fillId="4" borderId="0" xfId="1" applyFont="1" applyFill="1" applyBorder="1" applyAlignment="1">
      <alignment vertical="top"/>
    </xf>
    <xf numFmtId="0" fontId="8" fillId="0" borderId="35" xfId="0" applyFont="1" applyBorder="1" applyAlignment="1">
      <alignment horizontal="center" vertical="top" wrapText="1"/>
    </xf>
    <xf numFmtId="0" fontId="8" fillId="0" borderId="0" xfId="0" applyFont="1" applyAlignment="1">
      <alignment vertical="top" wrapText="1"/>
    </xf>
    <xf numFmtId="0" fontId="3" fillId="0" borderId="35" xfId="0" applyFont="1" applyBorder="1" applyAlignment="1">
      <alignment horizontal="center" vertical="top"/>
    </xf>
    <xf numFmtId="0" fontId="8" fillId="0" borderId="0" xfId="0" applyFont="1" applyAlignment="1">
      <alignment horizontal="left" vertical="top" wrapText="1"/>
    </xf>
    <xf numFmtId="0" fontId="8" fillId="0" borderId="5" xfId="0" applyFont="1" applyBorder="1" applyAlignment="1">
      <alignment horizontal="left" vertical="top" wrapText="1"/>
    </xf>
    <xf numFmtId="0" fontId="8" fillId="0" borderId="36" xfId="0" applyFont="1" applyBorder="1" applyAlignment="1">
      <alignment horizontal="left" vertical="top" wrapText="1"/>
    </xf>
    <xf numFmtId="0" fontId="8" fillId="0" borderId="22" xfId="0" applyFont="1" applyBorder="1" applyAlignment="1">
      <alignment horizontal="left" vertical="top" wrapText="1"/>
    </xf>
    <xf numFmtId="0" fontId="14" fillId="0" borderId="31" xfId="0" applyFont="1" applyBorder="1" applyAlignment="1">
      <alignment horizontal="center" vertical="top" wrapText="1"/>
    </xf>
    <xf numFmtId="0" fontId="4" fillId="0" borderId="35" xfId="5" applyBorder="1" applyAlignment="1">
      <alignment vertical="top"/>
    </xf>
    <xf numFmtId="43" fontId="4" fillId="4" borderId="46" xfId="1" applyFont="1" applyFill="1" applyBorder="1" applyAlignment="1">
      <alignment vertical="top"/>
    </xf>
    <xf numFmtId="0" fontId="3" fillId="0" borderId="35" xfId="0" quotePrefix="1" applyFont="1" applyBorder="1" applyAlignment="1">
      <alignment horizontal="center" vertical="top"/>
    </xf>
    <xf numFmtId="0" fontId="3" fillId="0" borderId="5" xfId="0" applyFont="1" applyBorder="1" applyAlignment="1">
      <alignment horizontal="center" vertical="top"/>
    </xf>
    <xf numFmtId="0" fontId="3" fillId="0" borderId="59" xfId="0" applyFont="1" applyBorder="1" applyAlignment="1">
      <alignment horizontal="center" vertical="top"/>
    </xf>
    <xf numFmtId="0" fontId="3" fillId="0" borderId="40" xfId="0" applyFont="1" applyBorder="1" applyAlignment="1">
      <alignment horizontal="center" vertical="top"/>
    </xf>
    <xf numFmtId="0" fontId="3" fillId="0" borderId="46" xfId="0" applyFont="1" applyBorder="1" applyAlignment="1">
      <alignment horizontal="center" vertical="top"/>
    </xf>
    <xf numFmtId="15" fontId="4" fillId="4" borderId="15" xfId="0" applyNumberFormat="1" applyFont="1" applyFill="1" applyBorder="1" applyAlignment="1">
      <alignment horizontal="left" vertical="top"/>
    </xf>
    <xf numFmtId="0" fontId="4" fillId="4" borderId="16" xfId="0" applyFont="1" applyFill="1" applyBorder="1" applyAlignment="1">
      <alignment horizontal="left" vertical="top"/>
    </xf>
    <xf numFmtId="0" fontId="4" fillId="4" borderId="21" xfId="0" applyFont="1" applyFill="1" applyBorder="1" applyAlignment="1">
      <alignment horizontal="left" vertical="top"/>
    </xf>
    <xf numFmtId="0" fontId="4" fillId="4" borderId="20" xfId="0" applyFont="1" applyFill="1" applyBorder="1" applyAlignment="1">
      <alignment horizontal="left" vertical="top"/>
    </xf>
    <xf numFmtId="0" fontId="4" fillId="4" borderId="18" xfId="0" applyFont="1" applyFill="1" applyBorder="1" applyAlignment="1">
      <alignment horizontal="left" vertical="top"/>
    </xf>
    <xf numFmtId="43" fontId="4" fillId="4" borderId="57" xfId="1" applyFont="1" applyFill="1" applyBorder="1" applyAlignment="1">
      <alignment vertical="top"/>
    </xf>
    <xf numFmtId="0" fontId="4" fillId="4" borderId="15" xfId="0" applyFont="1" applyFill="1" applyBorder="1" applyAlignment="1">
      <alignment horizontal="left" vertical="top"/>
    </xf>
    <xf numFmtId="43" fontId="4" fillId="4" borderId="17" xfId="1" applyFont="1" applyFill="1" applyBorder="1" applyAlignment="1">
      <alignment vertical="top"/>
    </xf>
    <xf numFmtId="43" fontId="4" fillId="4" borderId="19" xfId="1" applyFont="1" applyFill="1" applyBorder="1" applyAlignment="1">
      <alignment vertical="top"/>
    </xf>
    <xf numFmtId="0" fontId="4" fillId="0" borderId="20" xfId="5" applyBorder="1" applyAlignment="1">
      <alignment horizontal="center" vertical="top"/>
    </xf>
    <xf numFmtId="0" fontId="4" fillId="0" borderId="18" xfId="5" applyBorder="1" applyAlignment="1">
      <alignment horizontal="center" vertical="top"/>
    </xf>
    <xf numFmtId="0" fontId="4" fillId="0" borderId="46" xfId="5" applyBorder="1" applyAlignment="1">
      <alignment horizontal="center" vertical="top"/>
    </xf>
    <xf numFmtId="43" fontId="7" fillId="0" borderId="23" xfId="1" applyFont="1" applyFill="1" applyBorder="1" applyAlignment="1">
      <alignment horizontal="center" vertical="center"/>
    </xf>
    <xf numFmtId="0" fontId="4" fillId="0" borderId="23" xfId="5" applyBorder="1" applyAlignment="1">
      <alignment horizontal="center" vertical="top"/>
    </xf>
    <xf numFmtId="0" fontId="4" fillId="0" borderId="22" xfId="5" applyBorder="1" applyAlignment="1">
      <alignment horizontal="center" vertical="top"/>
    </xf>
    <xf numFmtId="0" fontId="4" fillId="0" borderId="21" xfId="5" applyBorder="1" applyAlignment="1">
      <alignment horizontal="center" vertical="top"/>
    </xf>
    <xf numFmtId="0" fontId="4" fillId="0" borderId="40" xfId="5" applyBorder="1" applyAlignment="1">
      <alignment horizontal="center" vertical="top"/>
    </xf>
    <xf numFmtId="0" fontId="4" fillId="4" borderId="17" xfId="0" applyFont="1" applyFill="1" applyBorder="1" applyAlignment="1">
      <alignment horizontal="left" vertical="top"/>
    </xf>
    <xf numFmtId="0" fontId="5" fillId="4" borderId="17" xfId="0" applyFont="1" applyFill="1" applyBorder="1" applyAlignment="1">
      <alignment horizontal="center" vertical="top"/>
    </xf>
    <xf numFmtId="0" fontId="5" fillId="4" borderId="15" xfId="0" applyFont="1" applyFill="1" applyBorder="1" applyAlignment="1">
      <alignment horizontal="center" vertical="top"/>
    </xf>
    <xf numFmtId="0" fontId="5" fillId="4" borderId="19" xfId="0" applyFont="1" applyFill="1" applyBorder="1" applyAlignment="1">
      <alignment horizontal="center" vertical="top"/>
    </xf>
    <xf numFmtId="0" fontId="5" fillId="4" borderId="20" xfId="0" applyFont="1" applyFill="1" applyBorder="1" applyAlignment="1">
      <alignment horizontal="center" vertical="top"/>
    </xf>
    <xf numFmtId="0" fontId="4" fillId="4" borderId="19" xfId="0" applyFont="1" applyFill="1" applyBorder="1" applyAlignment="1">
      <alignment horizontal="left" vertical="top"/>
    </xf>
    <xf numFmtId="43" fontId="4" fillId="4" borderId="20" xfId="1" applyFont="1" applyFill="1" applyBorder="1" applyAlignment="1">
      <alignment vertical="top"/>
    </xf>
    <xf numFmtId="0" fontId="3" fillId="0" borderId="46" xfId="0" applyFont="1" applyBorder="1" applyAlignment="1">
      <alignment vertical="top"/>
    </xf>
    <xf numFmtId="0" fontId="3" fillId="0" borderId="31" xfId="0" applyFont="1" applyBorder="1" applyAlignment="1">
      <alignment vertical="top"/>
    </xf>
    <xf numFmtId="0" fontId="4" fillId="0" borderId="35" xfId="0" applyFont="1" applyBorder="1" applyAlignment="1">
      <alignment horizontal="center" vertical="top"/>
    </xf>
    <xf numFmtId="0" fontId="5" fillId="0" borderId="31" xfId="0" applyFont="1" applyBorder="1" applyAlignment="1">
      <alignment horizontal="center" vertical="top" wrapText="1"/>
    </xf>
    <xf numFmtId="0" fontId="4" fillId="0" borderId="35" xfId="0" quotePrefix="1" applyFont="1" applyBorder="1" applyAlignment="1">
      <alignment horizontal="right" vertical="top"/>
    </xf>
    <xf numFmtId="0" fontId="3" fillId="0" borderId="36" xfId="0" applyFont="1" applyBorder="1" applyAlignment="1">
      <alignment horizontal="left" vertical="top" wrapText="1"/>
    </xf>
    <xf numFmtId="0" fontId="4" fillId="0" borderId="31" xfId="0" applyFont="1" applyBorder="1" applyAlignment="1">
      <alignment vertical="top"/>
    </xf>
    <xf numFmtId="0" fontId="4" fillId="0" borderId="20" xfId="0" applyFont="1" applyBorder="1" applyAlignment="1">
      <alignment vertical="top"/>
    </xf>
    <xf numFmtId="43" fontId="7" fillId="0" borderId="59" xfId="1" applyFont="1" applyFill="1" applyBorder="1" applyAlignment="1">
      <alignment horizontal="center" vertical="center"/>
    </xf>
    <xf numFmtId="0" fontId="4" fillId="0" borderId="35" xfId="0" applyFont="1" applyBorder="1" applyAlignment="1">
      <alignment horizontal="right" vertical="top"/>
    </xf>
    <xf numFmtId="0" fontId="13" fillId="0" borderId="36" xfId="0" applyFont="1" applyBorder="1" applyAlignment="1">
      <alignment vertical="top"/>
    </xf>
    <xf numFmtId="0" fontId="4" fillId="0" borderId="14" xfId="0" quotePrefix="1" applyFont="1" applyBorder="1" applyAlignment="1">
      <alignment horizontal="left" vertical="top"/>
    </xf>
    <xf numFmtId="0" fontId="4" fillId="0" borderId="36" xfId="0" applyFont="1" applyBorder="1" applyAlignment="1">
      <alignment vertical="top" wrapText="1"/>
    </xf>
    <xf numFmtId="0" fontId="5" fillId="0" borderId="32" xfId="5" applyFont="1" applyBorder="1" applyAlignment="1">
      <alignment vertical="top" wrapText="1"/>
    </xf>
    <xf numFmtId="0" fontId="4" fillId="0" borderId="41" xfId="0" applyFont="1" applyBorder="1" applyAlignment="1">
      <alignment horizontal="center" vertical="top"/>
    </xf>
    <xf numFmtId="0" fontId="4" fillId="0" borderId="4" xfId="5" applyBorder="1" applyAlignment="1">
      <alignment vertical="top"/>
    </xf>
    <xf numFmtId="0" fontId="4" fillId="0" borderId="33" xfId="5" applyBorder="1" applyAlignment="1">
      <alignment horizontal="center" vertical="top"/>
    </xf>
    <xf numFmtId="0" fontId="4" fillId="0" borderId="17" xfId="5" applyBorder="1" applyAlignment="1">
      <alignment vertical="top"/>
    </xf>
    <xf numFmtId="0" fontId="4" fillId="0" borderId="34" xfId="5" applyBorder="1" applyAlignment="1">
      <alignment vertical="top"/>
    </xf>
    <xf numFmtId="0" fontId="4" fillId="0" borderId="35" xfId="5" applyBorder="1" applyAlignment="1">
      <alignment horizontal="center" vertical="top"/>
    </xf>
    <xf numFmtId="0" fontId="4" fillId="0" borderId="4" xfId="5" applyBorder="1" applyAlignment="1">
      <alignment vertical="top" wrapText="1"/>
    </xf>
    <xf numFmtId="0" fontId="4" fillId="0" borderId="11" xfId="5" applyBorder="1" applyAlignment="1">
      <alignment horizontal="center" vertical="top"/>
    </xf>
    <xf numFmtId="0" fontId="4" fillId="0" borderId="42" xfId="5" applyBorder="1" applyAlignment="1">
      <alignment vertical="top"/>
    </xf>
    <xf numFmtId="0" fontId="4" fillId="0" borderId="11" xfId="5" applyBorder="1" applyAlignment="1">
      <alignment vertical="top"/>
    </xf>
    <xf numFmtId="0" fontId="4" fillId="0" borderId="0" xfId="5" applyAlignment="1">
      <alignment horizontal="center" vertical="top"/>
    </xf>
    <xf numFmtId="0" fontId="4" fillId="0" borderId="2" xfId="5" applyBorder="1" applyAlignment="1">
      <alignment vertical="top"/>
    </xf>
    <xf numFmtId="0" fontId="4" fillId="0" borderId="3" xfId="5" applyBorder="1" applyAlignment="1">
      <alignment vertical="top"/>
    </xf>
    <xf numFmtId="0" fontId="4" fillId="0" borderId="41" xfId="5" applyBorder="1" applyAlignment="1">
      <alignment horizontal="center" vertical="top"/>
    </xf>
    <xf numFmtId="0" fontId="13" fillId="0" borderId="0" xfId="5" applyFont="1" applyAlignment="1">
      <alignment vertical="top"/>
    </xf>
    <xf numFmtId="0" fontId="5" fillId="0" borderId="13" xfId="5" applyFont="1" applyBorder="1" applyAlignment="1">
      <alignment horizontal="center" vertical="top" wrapText="1"/>
    </xf>
    <xf numFmtId="0" fontId="5" fillId="0" borderId="16" xfId="5" applyFont="1" applyBorder="1" applyAlignment="1">
      <alignment vertical="top"/>
    </xf>
    <xf numFmtId="0" fontId="4" fillId="0" borderId="16" xfId="5" applyBorder="1" applyAlignment="1">
      <alignment vertical="top"/>
    </xf>
    <xf numFmtId="0" fontId="22" fillId="0" borderId="16" xfId="5" applyFont="1" applyBorder="1" applyAlignment="1">
      <alignment vertical="top"/>
    </xf>
    <xf numFmtId="0" fontId="4" fillId="0" borderId="21" xfId="5" applyBorder="1" applyAlignment="1">
      <alignment vertical="top"/>
    </xf>
    <xf numFmtId="43" fontId="4" fillId="0" borderId="21" xfId="5" applyNumberFormat="1" applyBorder="1" applyAlignment="1">
      <alignment vertical="top"/>
    </xf>
    <xf numFmtId="0" fontId="5" fillId="0" borderId="18" xfId="5" applyFont="1" applyBorder="1" applyAlignment="1">
      <alignment horizontal="left" vertical="top" wrapText="1"/>
    </xf>
    <xf numFmtId="43" fontId="5" fillId="0" borderId="18" xfId="3" applyFont="1" applyFill="1" applyBorder="1" applyAlignment="1">
      <alignment vertical="top" wrapText="1"/>
    </xf>
    <xf numFmtId="43" fontId="5" fillId="0" borderId="18" xfId="5" applyNumberFormat="1" applyFont="1" applyBorder="1" applyAlignment="1">
      <alignment vertical="top" wrapText="1"/>
    </xf>
    <xf numFmtId="0" fontId="4" fillId="0" borderId="18" xfId="5" applyBorder="1" applyAlignment="1">
      <alignment vertical="top"/>
    </xf>
    <xf numFmtId="43" fontId="22" fillId="0" borderId="21" xfId="5" applyNumberFormat="1" applyFont="1" applyBorder="1" applyAlignment="1">
      <alignment vertical="top"/>
    </xf>
    <xf numFmtId="0" fontId="5" fillId="0" borderId="21" xfId="5" applyFont="1" applyBorder="1" applyAlignment="1">
      <alignment vertical="top" wrapText="1"/>
    </xf>
    <xf numFmtId="43" fontId="4" fillId="0" borderId="18" xfId="5" applyNumberFormat="1" applyBorder="1" applyAlignment="1">
      <alignment vertical="top"/>
    </xf>
    <xf numFmtId="43" fontId="4" fillId="0" borderId="18" xfId="5" applyNumberFormat="1" applyBorder="1" applyAlignment="1">
      <alignment horizontal="right" vertical="top"/>
    </xf>
    <xf numFmtId="43" fontId="23" fillId="0" borderId="21" xfId="5" applyNumberFormat="1" applyFont="1" applyBorder="1" applyAlignment="1">
      <alignment horizontal="center" vertical="top"/>
    </xf>
    <xf numFmtId="43" fontId="4" fillId="0" borderId="21" xfId="3" applyFont="1" applyFill="1" applyBorder="1" applyAlignment="1">
      <alignment vertical="top"/>
    </xf>
    <xf numFmtId="43" fontId="5" fillId="0" borderId="18" xfId="3" applyFont="1" applyFill="1" applyBorder="1" applyAlignment="1">
      <alignment vertical="top"/>
    </xf>
    <xf numFmtId="43" fontId="4" fillId="0" borderId="21" xfId="5" applyNumberFormat="1" applyBorder="1" applyAlignment="1">
      <alignment horizontal="right" vertical="top"/>
    </xf>
    <xf numFmtId="43" fontId="4" fillId="0" borderId="21" xfId="3" applyFont="1" applyFill="1" applyBorder="1" applyAlignment="1">
      <alignment horizontal="right" vertical="top"/>
    </xf>
    <xf numFmtId="43" fontId="5" fillId="0" borderId="18" xfId="3" applyFont="1" applyFill="1" applyBorder="1" applyAlignment="1">
      <alignment horizontal="right" vertical="top"/>
    </xf>
    <xf numFmtId="0" fontId="22" fillId="0" borderId="21" xfId="5" applyFont="1" applyBorder="1" applyAlignment="1">
      <alignment vertical="top"/>
    </xf>
    <xf numFmtId="0" fontId="22" fillId="0" borderId="18" xfId="5" applyFont="1" applyBorder="1" applyAlignment="1">
      <alignment vertical="top"/>
    </xf>
    <xf numFmtId="2" fontId="4" fillId="0" borderId="21" xfId="5" applyNumberFormat="1" applyBorder="1" applyAlignment="1">
      <alignment vertical="top"/>
    </xf>
    <xf numFmtId="0" fontId="4" fillId="0" borderId="21" xfId="5" applyBorder="1" applyAlignment="1">
      <alignment horizontal="right" vertical="top"/>
    </xf>
    <xf numFmtId="4" fontId="4" fillId="0" borderId="21" xfId="5" applyNumberFormat="1" applyBorder="1" applyAlignment="1">
      <alignment horizontal="right" vertical="top"/>
    </xf>
    <xf numFmtId="2" fontId="4" fillId="0" borderId="18" xfId="5" applyNumberFormat="1" applyBorder="1" applyAlignment="1">
      <alignment vertical="top"/>
    </xf>
    <xf numFmtId="0" fontId="4" fillId="0" borderId="18" xfId="5" applyBorder="1" applyAlignment="1">
      <alignment horizontal="right" vertical="top"/>
    </xf>
    <xf numFmtId="4" fontId="4" fillId="0" borderId="18" xfId="5" applyNumberFormat="1" applyBorder="1" applyAlignment="1">
      <alignment horizontal="right" vertical="top"/>
    </xf>
    <xf numFmtId="2" fontId="22" fillId="0" borderId="21" xfId="5" applyNumberFormat="1" applyFont="1" applyBorder="1" applyAlignment="1">
      <alignment vertical="top"/>
    </xf>
    <xf numFmtId="10" fontId="4" fillId="0" borderId="21" xfId="11" applyNumberFormat="1" applyFont="1" applyFill="1" applyBorder="1" applyAlignment="1">
      <alignment horizontal="right" vertical="top"/>
    </xf>
    <xf numFmtId="0" fontId="4" fillId="0" borderId="21" xfId="5" applyBorder="1" applyAlignment="1">
      <alignment vertical="top" wrapText="1"/>
    </xf>
    <xf numFmtId="4" fontId="4" fillId="0" borderId="21" xfId="5" applyNumberFormat="1" applyBorder="1" applyAlignment="1">
      <alignment horizontal="left" vertical="top" wrapText="1"/>
    </xf>
    <xf numFmtId="4" fontId="4" fillId="0" borderId="21" xfId="5" applyNumberFormat="1" applyBorder="1" applyAlignment="1">
      <alignment horizontal="center" vertical="top" wrapText="1"/>
    </xf>
    <xf numFmtId="0" fontId="4" fillId="0" borderId="18" xfId="5" applyBorder="1" applyAlignment="1">
      <alignment vertical="top" wrapText="1"/>
    </xf>
    <xf numFmtId="0" fontId="8" fillId="0" borderId="16" xfId="0" applyFont="1" applyBorder="1" applyAlignment="1">
      <alignment vertical="top"/>
    </xf>
    <xf numFmtId="0" fontId="8" fillId="0" borderId="16" xfId="0" applyFont="1" applyBorder="1" applyAlignment="1">
      <alignment vertical="top" wrapText="1"/>
    </xf>
    <xf numFmtId="0" fontId="8" fillId="0" borderId="21" xfId="0" applyFont="1" applyBorder="1" applyAlignment="1">
      <alignment vertical="top" wrapText="1"/>
    </xf>
    <xf numFmtId="0" fontId="8" fillId="0" borderId="18" xfId="0" applyFont="1" applyBorder="1" applyAlignment="1">
      <alignment vertical="top"/>
    </xf>
    <xf numFmtId="0" fontId="8" fillId="0" borderId="18" xfId="0" applyFont="1" applyBorder="1" applyAlignment="1">
      <alignment vertical="top" wrapText="1"/>
    </xf>
    <xf numFmtId="0" fontId="11" fillId="0" borderId="23" xfId="9" applyFont="1" applyBorder="1" applyAlignment="1">
      <alignment vertical="top"/>
    </xf>
    <xf numFmtId="0" fontId="8" fillId="0" borderId="16" xfId="9" applyFont="1" applyBorder="1" applyAlignment="1">
      <alignment vertical="top"/>
    </xf>
    <xf numFmtId="168" fontId="8" fillId="0" borderId="16" xfId="9" applyNumberFormat="1" applyFont="1" applyBorder="1" applyAlignment="1">
      <alignment vertical="top"/>
    </xf>
    <xf numFmtId="0" fontId="8" fillId="0" borderId="21" xfId="9" applyFont="1" applyBorder="1" applyAlignment="1">
      <alignment vertical="top"/>
    </xf>
    <xf numFmtId="168" fontId="8" fillId="0" borderId="21" xfId="9" applyNumberFormat="1" applyFont="1" applyBorder="1" applyAlignment="1">
      <alignment vertical="top"/>
    </xf>
    <xf numFmtId="0" fontId="8" fillId="0" borderId="21" xfId="9" applyFont="1" applyBorder="1" applyAlignment="1">
      <alignment vertical="top" wrapText="1"/>
    </xf>
    <xf numFmtId="0" fontId="8" fillId="0" borderId="18" xfId="9" applyFont="1" applyBorder="1" applyAlignment="1">
      <alignment vertical="top" wrapText="1"/>
    </xf>
    <xf numFmtId="168" fontId="8" fillId="0" borderId="18" xfId="9" applyNumberFormat="1" applyFont="1" applyBorder="1" applyAlignment="1">
      <alignment vertical="top"/>
    </xf>
    <xf numFmtId="168" fontId="8" fillId="0" borderId="0" xfId="9" applyNumberFormat="1" applyFont="1" applyAlignment="1">
      <alignment vertical="top"/>
    </xf>
    <xf numFmtId="0" fontId="8" fillId="0" borderId="14" xfId="9" applyFont="1" applyBorder="1" applyAlignment="1">
      <alignment vertical="top" wrapText="1"/>
    </xf>
    <xf numFmtId="168" fontId="8" fillId="0" borderId="17" xfId="9" applyNumberFormat="1" applyFont="1" applyBorder="1" applyAlignment="1">
      <alignment vertical="top"/>
    </xf>
    <xf numFmtId="0" fontId="8" fillId="0" borderId="13" xfId="9" applyFont="1" applyBorder="1" applyAlignment="1">
      <alignment vertical="top" wrapText="1"/>
    </xf>
    <xf numFmtId="2" fontId="22" fillId="0" borderId="36" xfId="5" applyNumberFormat="1" applyFont="1" applyBorder="1" applyAlignment="1">
      <alignment vertical="top"/>
    </xf>
    <xf numFmtId="10" fontId="4" fillId="0" borderId="36" xfId="11" applyNumberFormat="1" applyFont="1" applyFill="1" applyBorder="1" applyAlignment="1">
      <alignment horizontal="right" vertical="top"/>
    </xf>
    <xf numFmtId="4" fontId="4" fillId="0" borderId="36" xfId="5" applyNumberFormat="1" applyBorder="1" applyAlignment="1">
      <alignment horizontal="right" vertical="top"/>
    </xf>
    <xf numFmtId="4" fontId="4" fillId="0" borderId="36" xfId="5" applyNumberFormat="1" applyBorder="1" applyAlignment="1">
      <alignment horizontal="center" vertical="top" wrapText="1"/>
    </xf>
    <xf numFmtId="4" fontId="4" fillId="0" borderId="36" xfId="5" applyNumberFormat="1" applyBorder="1" applyAlignment="1">
      <alignment horizontal="left" vertical="top" wrapText="1"/>
    </xf>
    <xf numFmtId="0" fontId="8" fillId="0" borderId="36" xfId="9" applyFont="1" applyBorder="1" applyAlignment="1">
      <alignment vertical="top" wrapText="1"/>
    </xf>
    <xf numFmtId="0" fontId="8" fillId="0" borderId="42" xfId="9" applyFont="1" applyBorder="1" applyAlignment="1">
      <alignment vertical="top" wrapText="1"/>
    </xf>
    <xf numFmtId="168" fontId="8" fillId="0" borderId="11" xfId="9" applyNumberFormat="1" applyFont="1" applyBorder="1" applyAlignment="1">
      <alignment vertical="top"/>
    </xf>
    <xf numFmtId="0" fontId="5" fillId="0" borderId="2" xfId="0" applyFont="1" applyBorder="1" applyAlignment="1">
      <alignment horizontal="center" vertical="top" wrapText="1"/>
    </xf>
    <xf numFmtId="0" fontId="4" fillId="0" borderId="59" xfId="5" applyBorder="1" applyAlignment="1">
      <alignment vertical="top"/>
    </xf>
    <xf numFmtId="0" fontId="4" fillId="0" borderId="40" xfId="5" applyBorder="1" applyAlignment="1">
      <alignment vertical="top"/>
    </xf>
    <xf numFmtId="0" fontId="4" fillId="0" borderId="36" xfId="5" quotePrefix="1" applyBorder="1" applyAlignment="1">
      <alignment vertical="top"/>
    </xf>
    <xf numFmtId="0" fontId="4" fillId="0" borderId="46" xfId="5" applyBorder="1" applyAlignment="1">
      <alignment vertical="top"/>
    </xf>
    <xf numFmtId="0" fontId="4" fillId="0" borderId="35" xfId="5" quotePrefix="1" applyBorder="1" applyAlignment="1">
      <alignment horizontal="center" vertical="top"/>
    </xf>
    <xf numFmtId="0" fontId="7" fillId="0" borderId="23" xfId="0" applyFont="1" applyBorder="1" applyAlignment="1">
      <alignment horizontal="center" vertical="top"/>
    </xf>
    <xf numFmtId="0" fontId="7" fillId="0" borderId="13" xfId="0" applyFont="1" applyBorder="1" applyAlignment="1">
      <alignment horizontal="center" vertical="top"/>
    </xf>
    <xf numFmtId="0" fontId="7" fillId="0" borderId="31" xfId="0" applyFont="1" applyBorder="1" applyAlignment="1">
      <alignment horizontal="center" vertical="top"/>
    </xf>
    <xf numFmtId="0" fontId="4" fillId="0" borderId="15" xfId="5" applyBorder="1" applyAlignment="1">
      <alignment vertical="top"/>
    </xf>
    <xf numFmtId="0" fontId="4" fillId="0" borderId="20" xfId="5" applyBorder="1" applyAlignment="1">
      <alignment vertical="top"/>
    </xf>
    <xf numFmtId="0" fontId="13" fillId="0" borderId="22" xfId="5" applyFont="1" applyBorder="1" applyAlignment="1">
      <alignment vertical="top"/>
    </xf>
    <xf numFmtId="0" fontId="4" fillId="0" borderId="10" xfId="5" applyBorder="1" applyAlignment="1">
      <alignment horizontal="center" vertical="top"/>
    </xf>
    <xf numFmtId="0" fontId="4" fillId="0" borderId="42" xfId="0" applyFont="1" applyBorder="1" applyAlignment="1">
      <alignment vertical="top"/>
    </xf>
    <xf numFmtId="0" fontId="11" fillId="7" borderId="23" xfId="0" applyFont="1" applyFill="1" applyBorder="1" applyAlignment="1">
      <alignment horizontal="center" vertical="top" wrapText="1"/>
    </xf>
    <xf numFmtId="0" fontId="8" fillId="0" borderId="15" xfId="0" applyFont="1" applyBorder="1" applyAlignment="1">
      <alignment vertical="top" wrapText="1"/>
    </xf>
    <xf numFmtId="0" fontId="8" fillId="0" borderId="22" xfId="0" applyFont="1" applyBorder="1" applyAlignment="1">
      <alignment vertical="top" wrapText="1"/>
    </xf>
    <xf numFmtId="0" fontId="8" fillId="0" borderId="36" xfId="0" applyFont="1" applyBorder="1" applyAlignment="1">
      <alignment vertical="top"/>
    </xf>
    <xf numFmtId="0" fontId="8" fillId="0" borderId="20" xfId="0" applyFont="1" applyBorder="1" applyAlignment="1">
      <alignment vertical="top" wrapText="1"/>
    </xf>
    <xf numFmtId="0" fontId="8" fillId="0" borderId="57" xfId="0" applyFont="1" applyBorder="1" applyAlignment="1">
      <alignment vertical="top"/>
    </xf>
    <xf numFmtId="0" fontId="4" fillId="0" borderId="19" xfId="5" applyBorder="1" applyAlignment="1">
      <alignment vertical="top"/>
    </xf>
    <xf numFmtId="0" fontId="7" fillId="0" borderId="5" xfId="0" applyFont="1" applyBorder="1" applyAlignment="1">
      <alignment horizontal="center" vertical="top"/>
    </xf>
    <xf numFmtId="0" fontId="8" fillId="0" borderId="21" xfId="0" applyFont="1" applyBorder="1" applyAlignment="1">
      <alignment horizontal="center" vertical="top" wrapText="1"/>
    </xf>
    <xf numFmtId="0" fontId="8" fillId="0" borderId="40" xfId="0" applyFont="1" applyBorder="1" applyAlignment="1">
      <alignment horizontal="center" vertical="top" wrapText="1"/>
    </xf>
    <xf numFmtId="0" fontId="20" fillId="0" borderId="21" xfId="0" applyFont="1" applyBorder="1" applyAlignment="1">
      <alignment vertical="top" wrapText="1"/>
    </xf>
    <xf numFmtId="0" fontId="8" fillId="0" borderId="18" xfId="0" applyFont="1" applyBorder="1" applyAlignment="1">
      <alignment horizontal="center" vertical="top" wrapText="1"/>
    </xf>
    <xf numFmtId="0" fontId="8" fillId="0" borderId="46" xfId="0" applyFont="1" applyBorder="1" applyAlignment="1">
      <alignment horizontal="center" vertical="top" wrapText="1"/>
    </xf>
    <xf numFmtId="0" fontId="20" fillId="0" borderId="0" xfId="0" applyFont="1" applyAlignment="1">
      <alignment vertical="top"/>
    </xf>
    <xf numFmtId="0" fontId="8" fillId="0" borderId="0" xfId="0" applyFont="1" applyAlignment="1">
      <alignment horizontal="left" vertical="top"/>
    </xf>
    <xf numFmtId="0" fontId="20" fillId="0" borderId="0" xfId="0" applyFont="1" applyAlignment="1">
      <alignment vertical="top" wrapText="1"/>
    </xf>
    <xf numFmtId="0" fontId="11" fillId="0" borderId="0" xfId="0" applyFont="1" applyAlignment="1">
      <alignment vertical="top" wrapText="1"/>
    </xf>
    <xf numFmtId="0" fontId="13" fillId="0" borderId="21" xfId="0" applyFont="1" applyBorder="1" applyAlignment="1">
      <alignment vertical="top"/>
    </xf>
    <xf numFmtId="43" fontId="4" fillId="0" borderId="22" xfId="7" applyFont="1" applyFill="1" applyBorder="1" applyAlignment="1" applyProtection="1">
      <alignment vertical="top"/>
    </xf>
    <xf numFmtId="0" fontId="4" fillId="0" borderId="21" xfId="0" applyFont="1" applyBorder="1" applyAlignment="1">
      <alignment vertical="top" wrapText="1"/>
    </xf>
    <xf numFmtId="43" fontId="4" fillId="0" borderId="22" xfId="7" applyFont="1" applyFill="1" applyBorder="1" applyAlignment="1" applyProtection="1">
      <alignment vertical="top"/>
      <protection locked="0"/>
    </xf>
    <xf numFmtId="43" fontId="4" fillId="0" borderId="16" xfId="7" applyFont="1" applyFill="1" applyBorder="1" applyAlignment="1" applyProtection="1">
      <alignment vertical="top"/>
    </xf>
    <xf numFmtId="43" fontId="4" fillId="0" borderId="34" xfId="7" applyFont="1" applyFill="1" applyBorder="1" applyAlignment="1" applyProtection="1">
      <alignment vertical="top"/>
    </xf>
    <xf numFmtId="43" fontId="4" fillId="0" borderId="5" xfId="7" applyFont="1" applyFill="1" applyBorder="1" applyAlignment="1" applyProtection="1">
      <alignment vertical="top"/>
    </xf>
    <xf numFmtId="0" fontId="5" fillId="0" borderId="21" xfId="0" applyFont="1" applyBorder="1" applyAlignment="1">
      <alignment horizontal="left" vertical="top"/>
    </xf>
    <xf numFmtId="43" fontId="4" fillId="0" borderId="13" xfId="7" applyFont="1" applyFill="1" applyBorder="1" applyAlignment="1" applyProtection="1">
      <alignment vertical="top"/>
    </xf>
    <xf numFmtId="43" fontId="4" fillId="0" borderId="9" xfId="7" applyFont="1" applyFill="1" applyBorder="1" applyAlignment="1" applyProtection="1">
      <alignment vertical="top"/>
    </xf>
    <xf numFmtId="43" fontId="4" fillId="0" borderId="17" xfId="7" applyFont="1" applyFill="1" applyBorder="1" applyAlignment="1" applyProtection="1">
      <alignment vertical="top"/>
    </xf>
    <xf numFmtId="0" fontId="4" fillId="0" borderId="36" xfId="5" applyBorder="1" applyAlignment="1">
      <alignment vertical="top" wrapText="1"/>
    </xf>
    <xf numFmtId="0" fontId="4" fillId="0" borderId="5" xfId="5" applyBorder="1" applyAlignment="1">
      <alignment vertical="top" wrapText="1"/>
    </xf>
    <xf numFmtId="0" fontId="4" fillId="0" borderId="36" xfId="5" applyBorder="1" applyAlignment="1">
      <alignment vertical="top"/>
    </xf>
    <xf numFmtId="0" fontId="5" fillId="0" borderId="36" xfId="5" applyFont="1" applyBorder="1" applyAlignment="1">
      <alignment vertical="top"/>
    </xf>
    <xf numFmtId="0" fontId="10" fillId="0" borderId="36" xfId="5" applyFont="1" applyBorder="1" applyAlignment="1">
      <alignment vertical="top"/>
    </xf>
    <xf numFmtId="0" fontId="4" fillId="0" borderId="21" xfId="5" applyBorder="1" applyAlignment="1">
      <alignment horizontal="left" vertical="top"/>
    </xf>
    <xf numFmtId="0" fontId="4" fillId="0" borderId="57" xfId="5" applyBorder="1" applyAlignment="1">
      <alignment vertical="top"/>
    </xf>
    <xf numFmtId="0" fontId="5" fillId="0" borderId="21" xfId="5" applyFont="1" applyBorder="1" applyAlignment="1">
      <alignment vertical="top"/>
    </xf>
    <xf numFmtId="0" fontId="5" fillId="0" borderId="40" xfId="5" applyFont="1" applyBorder="1" applyAlignment="1">
      <alignment vertical="top"/>
    </xf>
    <xf numFmtId="0" fontId="4" fillId="0" borderId="36" xfId="0" applyFont="1" applyBorder="1" applyAlignment="1">
      <alignment horizontal="left" vertical="top" wrapText="1"/>
    </xf>
    <xf numFmtId="0" fontId="5" fillId="0" borderId="46" xfId="5" applyFont="1" applyBorder="1" applyAlignment="1">
      <alignment vertical="top"/>
    </xf>
    <xf numFmtId="0" fontId="5" fillId="0" borderId="59" xfId="5" applyFont="1" applyBorder="1" applyAlignment="1">
      <alignment vertical="top"/>
    </xf>
    <xf numFmtId="0" fontId="4" fillId="0" borderId="44" xfId="5" applyBorder="1" applyAlignment="1">
      <alignment vertical="top"/>
    </xf>
    <xf numFmtId="0" fontId="4" fillId="0" borderId="48" xfId="5" applyBorder="1" applyAlignment="1">
      <alignment vertical="top"/>
    </xf>
    <xf numFmtId="0" fontId="4" fillId="0" borderId="39" xfId="5" applyBorder="1" applyAlignment="1">
      <alignment vertical="top"/>
    </xf>
    <xf numFmtId="0" fontId="7" fillId="0" borderId="19" xfId="0" applyFont="1" applyBorder="1" applyAlignment="1">
      <alignment horizontal="center" vertical="top"/>
    </xf>
    <xf numFmtId="0" fontId="11" fillId="0" borderId="15" xfId="0" applyFont="1" applyBorder="1" applyAlignment="1">
      <alignment vertical="top" wrapText="1"/>
    </xf>
    <xf numFmtId="3" fontId="8" fillId="0" borderId="21" xfId="0" applyNumberFormat="1" applyFont="1" applyBorder="1" applyAlignment="1">
      <alignment horizontal="right" vertical="top" wrapText="1"/>
    </xf>
    <xf numFmtId="3" fontId="8" fillId="0" borderId="21" xfId="0" quotePrefix="1" applyNumberFormat="1" applyFont="1" applyBorder="1" applyAlignment="1">
      <alignment horizontal="right" vertical="top" wrapText="1"/>
    </xf>
    <xf numFmtId="0" fontId="8" fillId="0" borderId="21" xfId="0" applyFont="1" applyBorder="1" applyAlignment="1">
      <alignment horizontal="right" vertical="top" wrapText="1"/>
    </xf>
    <xf numFmtId="3" fontId="8" fillId="0" borderId="16" xfId="0" applyNumberFormat="1" applyFont="1" applyBorder="1" applyAlignment="1">
      <alignment horizontal="right" vertical="top" wrapText="1"/>
    </xf>
    <xf numFmtId="3" fontId="8" fillId="0" borderId="18" xfId="0" quotePrefix="1" applyNumberFormat="1" applyFont="1" applyBorder="1" applyAlignment="1">
      <alignment horizontal="right" vertical="top" wrapText="1"/>
    </xf>
    <xf numFmtId="0" fontId="8" fillId="0" borderId="22" xfId="0" applyFont="1" applyBorder="1" applyAlignment="1">
      <alignment vertical="top"/>
    </xf>
    <xf numFmtId="43" fontId="5" fillId="0" borderId="0" xfId="1" applyFont="1" applyFill="1" applyBorder="1" applyAlignment="1">
      <alignment horizontal="center" vertical="top"/>
    </xf>
    <xf numFmtId="0" fontId="8" fillId="0" borderId="21" xfId="0" applyFont="1" applyBorder="1" applyAlignment="1">
      <alignment horizontal="center" vertical="top"/>
    </xf>
    <xf numFmtId="0" fontId="8" fillId="0" borderId="18" xfId="0" applyFont="1" applyBorder="1" applyAlignment="1">
      <alignment horizontal="center" vertical="top"/>
    </xf>
    <xf numFmtId="0" fontId="8" fillId="0" borderId="19" xfId="0" applyFont="1" applyBorder="1" applyAlignment="1">
      <alignment vertical="top"/>
    </xf>
    <xf numFmtId="0" fontId="4" fillId="0" borderId="41" xfId="5" applyBorder="1" applyAlignment="1">
      <alignment vertical="top"/>
    </xf>
    <xf numFmtId="0" fontId="5" fillId="0" borderId="0" xfId="0" applyFont="1" applyAlignment="1">
      <alignment horizontal="left"/>
    </xf>
    <xf numFmtId="0" fontId="4" fillId="0" borderId="0" xfId="5"/>
    <xf numFmtId="0" fontId="8" fillId="0" borderId="32" xfId="0" applyFont="1" applyBorder="1" applyAlignment="1">
      <alignment vertical="top"/>
    </xf>
    <xf numFmtId="0" fontId="8" fillId="0" borderId="5" xfId="0" applyFont="1" applyBorder="1" applyAlignment="1">
      <alignment vertical="top"/>
    </xf>
    <xf numFmtId="0" fontId="8" fillId="0" borderId="5" xfId="0" applyFont="1" applyBorder="1" applyAlignment="1">
      <alignment vertical="top" wrapText="1"/>
    </xf>
    <xf numFmtId="0" fontId="12" fillId="0" borderId="5" xfId="0" applyFont="1" applyBorder="1" applyAlignment="1">
      <alignment vertical="top"/>
    </xf>
    <xf numFmtId="0" fontId="24" fillId="0" borderId="13" xfId="0" applyFont="1" applyBorder="1" applyAlignment="1">
      <alignment horizontal="center" vertical="top" wrapText="1"/>
    </xf>
    <xf numFmtId="0" fontId="24" fillId="0" borderId="31" xfId="0" applyFont="1" applyBorder="1" applyAlignment="1">
      <alignment horizontal="center" vertical="top" wrapText="1"/>
    </xf>
    <xf numFmtId="0" fontId="26" fillId="0" borderId="21" xfId="0" applyFont="1" applyBorder="1" applyAlignment="1">
      <alignment horizontal="center" vertical="top"/>
    </xf>
    <xf numFmtId="0" fontId="26" fillId="0" borderId="40" xfId="0" applyFont="1" applyBorder="1" applyAlignment="1">
      <alignment vertical="top"/>
    </xf>
    <xf numFmtId="3" fontId="26" fillId="0" borderId="21" xfId="0" applyNumberFormat="1" applyFont="1" applyBorder="1" applyAlignment="1">
      <alignment horizontal="right" vertical="top"/>
    </xf>
    <xf numFmtId="0" fontId="26" fillId="0" borderId="21" xfId="0" applyFont="1" applyBorder="1" applyAlignment="1">
      <alignment horizontal="right" vertical="top"/>
    </xf>
    <xf numFmtId="0" fontId="26" fillId="0" borderId="40" xfId="0" applyFont="1" applyBorder="1" applyAlignment="1">
      <alignment horizontal="right" vertical="top"/>
    </xf>
    <xf numFmtId="43" fontId="26" fillId="0" borderId="21" xfId="1" applyFont="1" applyFill="1" applyBorder="1" applyAlignment="1">
      <alignment horizontal="right" vertical="top"/>
    </xf>
    <xf numFmtId="43" fontId="26" fillId="0" borderId="40" xfId="1" applyFont="1" applyFill="1" applyBorder="1" applyAlignment="1">
      <alignment horizontal="right" vertical="top"/>
    </xf>
    <xf numFmtId="0" fontId="26" fillId="0" borderId="16" xfId="0" applyFont="1" applyBorder="1" applyAlignment="1">
      <alignment horizontal="right" vertical="top" wrapText="1"/>
    </xf>
    <xf numFmtId="4" fontId="26" fillId="0" borderId="15" xfId="0" applyNumberFormat="1" applyFont="1" applyBorder="1" applyAlignment="1">
      <alignment horizontal="right" vertical="top" wrapText="1"/>
    </xf>
    <xf numFmtId="4" fontId="26" fillId="0" borderId="22" xfId="0" applyNumberFormat="1" applyFont="1" applyBorder="1" applyAlignment="1">
      <alignment horizontal="right" vertical="top" wrapText="1"/>
    </xf>
    <xf numFmtId="0" fontId="26" fillId="0" borderId="22" xfId="0" applyFont="1" applyBorder="1" applyAlignment="1">
      <alignment horizontal="right" vertical="top" wrapText="1"/>
    </xf>
    <xf numFmtId="0" fontId="8" fillId="0" borderId="22" xfId="0" applyFont="1" applyBorder="1" applyAlignment="1">
      <alignment horizontal="right" vertical="top" wrapText="1"/>
    </xf>
    <xf numFmtId="10" fontId="8" fillId="0" borderId="21" xfId="0" applyNumberFormat="1" applyFont="1" applyBorder="1" applyAlignment="1">
      <alignment horizontal="right" vertical="top" wrapText="1"/>
    </xf>
    <xf numFmtId="9" fontId="8" fillId="0" borderId="21"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0" fontId="8" fillId="0" borderId="45" xfId="0" applyFont="1" applyBorder="1" applyAlignment="1">
      <alignment vertical="top"/>
    </xf>
    <xf numFmtId="0" fontId="8" fillId="0" borderId="11" xfId="0" applyFont="1" applyBorder="1" applyAlignment="1">
      <alignment vertical="top"/>
    </xf>
    <xf numFmtId="0" fontId="8" fillId="0" borderId="12" xfId="0" applyFont="1" applyBorder="1" applyAlignment="1">
      <alignment vertical="top"/>
    </xf>
    <xf numFmtId="0" fontId="8" fillId="0" borderId="20" xfId="0" applyFont="1" applyBorder="1" applyAlignment="1">
      <alignment vertical="top"/>
    </xf>
    <xf numFmtId="0" fontId="11" fillId="0" borderId="16" xfId="0" applyFont="1" applyBorder="1" applyAlignment="1">
      <alignment horizontal="center" vertical="top" wrapText="1"/>
    </xf>
    <xf numFmtId="0" fontId="5" fillId="0" borderId="7" xfId="0" applyFont="1" applyBorder="1" applyAlignment="1">
      <alignment horizontal="center" vertical="top" wrapText="1"/>
    </xf>
    <xf numFmtId="0" fontId="4" fillId="0" borderId="0" xfId="5" applyAlignment="1">
      <alignment horizontal="left" vertical="top" wrapText="1"/>
    </xf>
    <xf numFmtId="0" fontId="4" fillId="0" borderId="5" xfId="5" applyBorder="1" applyAlignment="1">
      <alignment horizontal="left" vertical="top" wrapText="1"/>
    </xf>
    <xf numFmtId="0" fontId="11" fillId="0" borderId="13" xfId="9" applyFont="1" applyBorder="1" applyAlignment="1">
      <alignment horizontal="center" vertical="top"/>
    </xf>
    <xf numFmtId="0" fontId="11" fillId="0" borderId="23" xfId="0" applyFont="1" applyBorder="1" applyAlignment="1">
      <alignment horizontal="center" vertical="top" wrapText="1"/>
    </xf>
    <xf numFmtId="0" fontId="4" fillId="0" borderId="36" xfId="5" applyBorder="1" applyAlignment="1">
      <alignment horizontal="left" vertical="top" wrapText="1"/>
    </xf>
    <xf numFmtId="0" fontId="11" fillId="0" borderId="0" xfId="0" applyFont="1" applyAlignment="1">
      <alignment horizontal="left" vertical="top"/>
    </xf>
    <xf numFmtId="0" fontId="4" fillId="0" borderId="18" xfId="0" applyFont="1" applyBorder="1" applyAlignment="1">
      <alignment horizontal="center" vertical="top"/>
    </xf>
    <xf numFmtId="0" fontId="4" fillId="0" borderId="19" xfId="0" applyFont="1" applyBorder="1" applyAlignment="1">
      <alignment horizontal="center" vertical="top"/>
    </xf>
    <xf numFmtId="0" fontId="4" fillId="0" borderId="40" xfId="0" applyFont="1" applyBorder="1" applyAlignment="1">
      <alignment horizontal="center" vertical="top"/>
    </xf>
    <xf numFmtId="0" fontId="4" fillId="0" borderId="46" xfId="0" applyFont="1" applyBorder="1" applyAlignment="1">
      <alignment horizontal="center" vertical="top"/>
    </xf>
    <xf numFmtId="0" fontId="4" fillId="0" borderId="39" xfId="0" applyFont="1" applyBorder="1" applyAlignment="1">
      <alignment horizontal="center" vertical="top"/>
    </xf>
    <xf numFmtId="0" fontId="4" fillId="0" borderId="57" xfId="0" applyFont="1" applyBorder="1" applyAlignment="1">
      <alignment vertical="top"/>
    </xf>
    <xf numFmtId="0" fontId="4" fillId="4" borderId="57" xfId="0" applyFont="1" applyFill="1" applyBorder="1" applyAlignment="1">
      <alignment horizontal="left" vertical="top"/>
    </xf>
    <xf numFmtId="169" fontId="4" fillId="0" borderId="0" xfId="5" applyNumberFormat="1" applyAlignment="1">
      <alignment vertical="top"/>
    </xf>
    <xf numFmtId="0" fontId="5" fillId="0" borderId="36" xfId="5" applyFont="1" applyBorder="1" applyAlignment="1">
      <alignment horizontal="right" vertical="top"/>
    </xf>
    <xf numFmtId="4" fontId="4" fillId="0" borderId="18" xfId="5" applyNumberFormat="1" applyBorder="1" applyAlignment="1">
      <alignment horizontal="right" vertical="top" wrapText="1"/>
    </xf>
    <xf numFmtId="0" fontId="3" fillId="0" borderId="11" xfId="0" applyFont="1" applyBorder="1" applyAlignment="1">
      <alignment vertical="top"/>
    </xf>
    <xf numFmtId="0" fontId="3" fillId="0" borderId="35" xfId="0" quotePrefix="1" applyFont="1" applyBorder="1" applyAlignment="1">
      <alignment horizontal="left" vertical="top" indent="4"/>
    </xf>
    <xf numFmtId="0" fontId="14" fillId="0" borderId="11" xfId="0" applyFont="1" applyBorder="1" applyAlignment="1">
      <alignment vertical="top"/>
    </xf>
    <xf numFmtId="0" fontId="4" fillId="0" borderId="32" xfId="0" applyFont="1" applyBorder="1" applyAlignment="1">
      <alignment horizontal="left" vertical="top"/>
    </xf>
    <xf numFmtId="0" fontId="4" fillId="0" borderId="62" xfId="0" applyFont="1" applyBorder="1" applyAlignment="1">
      <alignment horizontal="right" vertical="top"/>
    </xf>
    <xf numFmtId="0" fontId="4" fillId="6" borderId="22" xfId="0" applyFont="1" applyFill="1" applyBorder="1" applyAlignment="1" applyProtection="1">
      <alignment vertical="top"/>
      <protection locked="0"/>
    </xf>
    <xf numFmtId="0" fontId="5" fillId="6" borderId="43" xfId="0" applyFont="1" applyFill="1" applyBorder="1" applyAlignment="1">
      <alignment horizontal="right" vertical="top"/>
    </xf>
    <xf numFmtId="0" fontId="5" fillId="0" borderId="0" xfId="5" applyFont="1" applyAlignment="1">
      <alignment vertical="top" wrapText="1"/>
    </xf>
    <xf numFmtId="0" fontId="4" fillId="0" borderId="40" xfId="5" applyBorder="1" applyAlignment="1">
      <alignment vertical="top" wrapText="1"/>
    </xf>
    <xf numFmtId="43" fontId="7" fillId="0" borderId="31" xfId="1" applyFont="1" applyFill="1" applyBorder="1" applyAlignment="1">
      <alignment horizontal="center" vertical="center" wrapText="1"/>
    </xf>
    <xf numFmtId="0" fontId="4" fillId="0" borderId="14" xfId="0" applyFont="1" applyBorder="1" applyAlignment="1">
      <alignment horizontal="right" vertical="top" wrapText="1"/>
    </xf>
    <xf numFmtId="0" fontId="4" fillId="0" borderId="59" xfId="5" applyBorder="1" applyAlignment="1">
      <alignment vertical="top" wrapText="1"/>
    </xf>
    <xf numFmtId="0" fontId="4" fillId="0" borderId="36" xfId="5" applyBorder="1" applyAlignment="1">
      <alignment horizontal="right" vertical="top" wrapText="1"/>
    </xf>
    <xf numFmtId="0" fontId="4" fillId="0" borderId="57" xfId="5" applyBorder="1" applyAlignment="1">
      <alignment horizontal="right" vertical="top" wrapText="1"/>
    </xf>
    <xf numFmtId="0" fontId="4" fillId="0" borderId="40" xfId="5" applyBorder="1" applyAlignment="1">
      <alignment horizontal="right" vertical="top" wrapText="1"/>
    </xf>
    <xf numFmtId="0" fontId="4" fillId="0" borderId="14" xfId="5" applyBorder="1" applyAlignment="1">
      <alignment vertical="top" wrapText="1"/>
    </xf>
    <xf numFmtId="0" fontId="4" fillId="0" borderId="46" xfId="5" applyBorder="1" applyAlignment="1">
      <alignment horizontal="right" vertical="top" wrapText="1"/>
    </xf>
    <xf numFmtId="0" fontId="4" fillId="0" borderId="31" xfId="5" applyBorder="1" applyAlignment="1">
      <alignment horizontal="right" vertical="top" wrapText="1"/>
    </xf>
    <xf numFmtId="0" fontId="4" fillId="0" borderId="42" xfId="5" applyBorder="1" applyAlignment="1">
      <alignment vertical="top" wrapText="1"/>
    </xf>
    <xf numFmtId="0" fontId="4" fillId="0" borderId="11" xfId="5" applyBorder="1" applyAlignment="1">
      <alignment vertical="top" wrapText="1"/>
    </xf>
    <xf numFmtId="0" fontId="4" fillId="0" borderId="12" xfId="5" applyBorder="1" applyAlignment="1">
      <alignment vertical="top" wrapText="1"/>
    </xf>
    <xf numFmtId="0" fontId="5" fillId="0" borderId="44" xfId="5" applyFont="1" applyBorder="1" applyAlignment="1">
      <alignment vertical="top"/>
    </xf>
    <xf numFmtId="43" fontId="5" fillId="0" borderId="44" xfId="5" applyNumberFormat="1" applyFont="1" applyBorder="1" applyAlignment="1">
      <alignment vertical="top"/>
    </xf>
    <xf numFmtId="0" fontId="8" fillId="0" borderId="11" xfId="0" applyFont="1" applyBorder="1" applyAlignment="1">
      <alignment vertical="top" wrapText="1"/>
    </xf>
    <xf numFmtId="0" fontId="3" fillId="0" borderId="41" xfId="0" applyFont="1" applyBorder="1" applyAlignment="1">
      <alignment horizontal="center" vertical="top"/>
    </xf>
    <xf numFmtId="43" fontId="4" fillId="4" borderId="11" xfId="1" applyFont="1" applyFill="1" applyBorder="1" applyAlignment="1">
      <alignment vertical="top"/>
    </xf>
    <xf numFmtId="0" fontId="4" fillId="4" borderId="11" xfId="0" applyFont="1" applyFill="1" applyBorder="1" applyAlignment="1">
      <alignment horizontal="left" vertical="top"/>
    </xf>
    <xf numFmtId="0" fontId="5" fillId="0" borderId="46" xfId="0" applyFont="1" applyBorder="1" applyAlignment="1">
      <alignment horizontal="center" vertical="top" wrapText="1"/>
    </xf>
    <xf numFmtId="0" fontId="3" fillId="0" borderId="41" xfId="0" applyFont="1" applyBorder="1" applyAlignment="1">
      <alignment vertical="top"/>
    </xf>
    <xf numFmtId="0" fontId="4" fillId="0" borderId="36" xfId="5" quotePrefix="1" applyBorder="1" applyAlignment="1">
      <alignment horizontal="left" vertical="top" wrapText="1"/>
    </xf>
    <xf numFmtId="0" fontId="11" fillId="0" borderId="18" xfId="0" applyFont="1" applyBorder="1" applyAlignment="1">
      <alignment horizontal="center" vertical="top" wrapText="1"/>
    </xf>
    <xf numFmtId="0" fontId="11" fillId="0" borderId="46" xfId="0" applyFont="1" applyBorder="1" applyAlignment="1">
      <alignment horizontal="center" vertical="top" wrapText="1"/>
    </xf>
    <xf numFmtId="0" fontId="5" fillId="0" borderId="0" xfId="9" applyFont="1" applyAlignment="1">
      <alignment horizontal="left" vertical="top"/>
    </xf>
    <xf numFmtId="0" fontId="5" fillId="0" borderId="0" xfId="9" applyFont="1" applyAlignment="1">
      <alignment horizontal="center" vertical="top"/>
    </xf>
    <xf numFmtId="0" fontId="4" fillId="0" borderId="44" xfId="5" applyBorder="1" applyAlignment="1">
      <alignment vertical="top" wrapText="1"/>
    </xf>
    <xf numFmtId="0" fontId="4" fillId="0" borderId="10" xfId="5" applyBorder="1" applyAlignment="1">
      <alignment vertical="top"/>
    </xf>
    <xf numFmtId="0" fontId="3" fillId="0" borderId="43" xfId="0" applyFont="1" applyBorder="1" applyAlignment="1">
      <alignment vertical="top"/>
    </xf>
    <xf numFmtId="0" fontId="7" fillId="0" borderId="0" xfId="0" applyFont="1" applyAlignment="1">
      <alignment horizontal="center" vertical="top"/>
    </xf>
    <xf numFmtId="0" fontId="4" fillId="0" borderId="11" xfId="0" applyFont="1" applyBorder="1" applyAlignment="1">
      <alignment vertical="top"/>
    </xf>
    <xf numFmtId="0" fontId="4" fillId="0" borderId="11" xfId="0" applyFont="1" applyBorder="1" applyAlignment="1">
      <alignment horizontal="center" vertical="top"/>
    </xf>
    <xf numFmtId="3" fontId="26" fillId="0" borderId="44" xfId="0" applyNumberFormat="1" applyFont="1" applyBorder="1" applyAlignment="1">
      <alignment horizontal="right" vertical="top"/>
    </xf>
    <xf numFmtId="43" fontId="26" fillId="0" borderId="44" xfId="1" applyFont="1" applyFill="1" applyBorder="1" applyAlignment="1">
      <alignment horizontal="right" vertical="top"/>
    </xf>
    <xf numFmtId="43" fontId="26" fillId="0" borderId="48" xfId="1" applyFont="1" applyFill="1" applyBorder="1" applyAlignment="1">
      <alignment horizontal="right" vertical="top"/>
    </xf>
    <xf numFmtId="0" fontId="5" fillId="0" borderId="2" xfId="5" applyFont="1" applyBorder="1" applyAlignment="1">
      <alignment vertical="top"/>
    </xf>
    <xf numFmtId="0" fontId="5" fillId="0" borderId="18" xfId="5" applyFont="1" applyBorder="1" applyAlignment="1">
      <alignment horizontal="center" vertical="top"/>
    </xf>
    <xf numFmtId="0" fontId="5" fillId="0" borderId="16" xfId="5" applyFont="1" applyBorder="1" applyAlignment="1">
      <alignment horizontal="center" vertical="top"/>
    </xf>
    <xf numFmtId="0" fontId="5" fillId="0" borderId="59" xfId="5" applyFont="1" applyBorder="1" applyAlignment="1">
      <alignment horizontal="center" vertical="top"/>
    </xf>
    <xf numFmtId="0" fontId="5" fillId="0" borderId="46" xfId="5" applyFont="1" applyBorder="1" applyAlignment="1">
      <alignment horizontal="center" vertical="top"/>
    </xf>
    <xf numFmtId="43" fontId="4" fillId="4" borderId="16" xfId="1" applyFont="1" applyFill="1" applyBorder="1" applyAlignment="1">
      <alignment horizontal="center" vertical="top"/>
    </xf>
    <xf numFmtId="43" fontId="4" fillId="4" borderId="21" xfId="1" applyFont="1" applyFill="1" applyBorder="1" applyAlignment="1">
      <alignment horizontal="center" vertical="top"/>
    </xf>
    <xf numFmtId="43" fontId="4" fillId="4" borderId="5" xfId="1" applyFont="1" applyFill="1" applyBorder="1" applyAlignment="1">
      <alignment horizontal="center" vertical="top"/>
    </xf>
    <xf numFmtId="43" fontId="4" fillId="4" borderId="18" xfId="1" applyFont="1" applyFill="1" applyBorder="1" applyAlignment="1">
      <alignment horizontal="center" vertical="top"/>
    </xf>
    <xf numFmtId="43" fontId="4" fillId="4" borderId="39" xfId="1" applyFont="1" applyFill="1" applyBorder="1" applyAlignment="1">
      <alignment horizontal="center" vertical="top"/>
    </xf>
    <xf numFmtId="0" fontId="4" fillId="0" borderId="0" xfId="5" quotePrefix="1" applyAlignment="1">
      <alignment vertical="top" wrapText="1"/>
    </xf>
    <xf numFmtId="0" fontId="8" fillId="0" borderId="0" xfId="0" applyFont="1" applyAlignment="1">
      <alignment horizontal="left" vertical="top" indent="1"/>
    </xf>
    <xf numFmtId="43" fontId="4" fillId="4" borderId="40" xfId="1" applyFont="1" applyFill="1" applyBorder="1" applyAlignment="1">
      <alignment horizontal="center" vertical="top"/>
    </xf>
    <xf numFmtId="0" fontId="30" fillId="2" borderId="45" xfId="0" applyFont="1" applyFill="1" applyBorder="1" applyAlignment="1">
      <alignment horizontal="center" vertical="center"/>
    </xf>
    <xf numFmtId="43" fontId="3" fillId="0" borderId="47" xfId="1" applyFont="1" applyFill="1" applyBorder="1" applyAlignment="1">
      <alignment vertical="top"/>
    </xf>
    <xf numFmtId="43" fontId="3" fillId="0" borderId="55" xfId="1" applyFont="1" applyFill="1" applyBorder="1" applyAlignment="1">
      <alignment vertical="top"/>
    </xf>
    <xf numFmtId="0" fontId="30" fillId="2" borderId="71" xfId="0" applyFont="1" applyFill="1" applyBorder="1" applyAlignment="1">
      <alignment horizontal="center" vertical="center"/>
    </xf>
    <xf numFmtId="0" fontId="30" fillId="2" borderId="29" xfId="0" applyFont="1" applyFill="1" applyBorder="1" applyAlignment="1">
      <alignment horizontal="center" vertical="center"/>
    </xf>
    <xf numFmtId="0" fontId="4" fillId="2" borderId="6" xfId="0" applyFont="1" applyFill="1" applyBorder="1" applyAlignment="1">
      <alignment horizontal="center" vertical="top"/>
    </xf>
    <xf numFmtId="0" fontId="3" fillId="2" borderId="62" xfId="0" applyFont="1" applyFill="1" applyBorder="1" applyAlignment="1">
      <alignment horizontal="center" vertical="top"/>
    </xf>
    <xf numFmtId="0" fontId="30" fillId="2" borderId="77" xfId="0" applyFont="1" applyFill="1" applyBorder="1" applyAlignment="1">
      <alignment horizontal="center" vertical="center"/>
    </xf>
    <xf numFmtId="0" fontId="4" fillId="2" borderId="63" xfId="0" applyFont="1" applyFill="1" applyBorder="1" applyAlignment="1">
      <alignment horizontal="center" vertical="top"/>
    </xf>
    <xf numFmtId="0" fontId="8" fillId="3" borderId="47" xfId="0" applyFont="1" applyFill="1" applyBorder="1" applyAlignment="1">
      <alignment horizontal="justify" vertical="top" wrapText="1"/>
    </xf>
    <xf numFmtId="0" fontId="30" fillId="2" borderId="72" xfId="5" applyFont="1" applyFill="1" applyBorder="1" applyAlignment="1">
      <alignment horizontal="center" vertical="center"/>
    </xf>
    <xf numFmtId="0" fontId="4" fillId="2" borderId="50" xfId="5" applyFill="1" applyBorder="1" applyAlignment="1">
      <alignment horizontal="center" vertical="top"/>
    </xf>
    <xf numFmtId="43" fontId="7" fillId="0" borderId="40" xfId="1" applyFont="1" applyFill="1" applyBorder="1" applyAlignment="1">
      <alignment horizontal="center" vertical="center"/>
    </xf>
    <xf numFmtId="0" fontId="4" fillId="0" borderId="0" xfId="5" quotePrefix="1" applyAlignment="1">
      <alignment horizontal="left" vertical="top" indent="2"/>
    </xf>
    <xf numFmtId="0" fontId="5" fillId="0" borderId="13" xfId="5" applyFont="1" applyBorder="1" applyAlignment="1">
      <alignment horizontal="center" vertical="top"/>
    </xf>
    <xf numFmtId="0" fontId="12" fillId="0" borderId="13" xfId="0" applyFont="1" applyBorder="1" applyAlignment="1">
      <alignment horizontal="center" vertical="top" wrapText="1"/>
    </xf>
    <xf numFmtId="0" fontId="11" fillId="7" borderId="7" xfId="0" applyFont="1" applyFill="1" applyBorder="1" applyAlignment="1">
      <alignment horizontal="center" vertical="top" wrapText="1"/>
    </xf>
    <xf numFmtId="0" fontId="11" fillId="0" borderId="20" xfId="0" applyFont="1" applyBorder="1" applyAlignment="1">
      <alignment vertical="top" wrapText="1"/>
    </xf>
    <xf numFmtId="0" fontId="29" fillId="2" borderId="71" xfId="5" applyFont="1" applyFill="1" applyBorder="1" applyAlignment="1">
      <alignment horizontal="center" vertical="top"/>
    </xf>
    <xf numFmtId="0" fontId="29" fillId="2" borderId="6" xfId="5" applyFont="1" applyFill="1" applyBorder="1" applyAlignment="1">
      <alignment horizontal="center" vertical="top"/>
    </xf>
    <xf numFmtId="0" fontId="5" fillId="4" borderId="23" xfId="0" applyFont="1" applyFill="1" applyBorder="1" applyAlignment="1">
      <alignment horizontal="center" vertical="top"/>
    </xf>
    <xf numFmtId="0" fontId="5" fillId="4" borderId="13" xfId="0" applyFont="1" applyFill="1" applyBorder="1" applyAlignment="1">
      <alignment horizontal="center" vertical="top"/>
    </xf>
    <xf numFmtId="43" fontId="5" fillId="4" borderId="13" xfId="1" applyFont="1" applyFill="1" applyBorder="1" applyAlignment="1">
      <alignment horizontal="center" vertical="top" wrapText="1"/>
    </xf>
    <xf numFmtId="43" fontId="5" fillId="4" borderId="31" xfId="1" applyFont="1" applyFill="1" applyBorder="1" applyAlignment="1">
      <alignment horizontal="center" vertical="top" wrapText="1"/>
    </xf>
    <xf numFmtId="0" fontId="5" fillId="4" borderId="23" xfId="0" applyFont="1" applyFill="1" applyBorder="1" applyAlignment="1">
      <alignment horizontal="left" vertical="top"/>
    </xf>
    <xf numFmtId="0" fontId="5" fillId="4" borderId="13" xfId="0" applyFont="1" applyFill="1" applyBorder="1" applyAlignment="1">
      <alignment horizontal="left" vertical="top"/>
    </xf>
    <xf numFmtId="43" fontId="5" fillId="4" borderId="13" xfId="1" applyFont="1" applyFill="1" applyBorder="1" applyAlignment="1">
      <alignment vertical="top"/>
    </xf>
    <xf numFmtId="43" fontId="5" fillId="4" borderId="31" xfId="1" applyFont="1" applyFill="1" applyBorder="1" applyAlignment="1">
      <alignment vertical="top"/>
    </xf>
    <xf numFmtId="0" fontId="5" fillId="0" borderId="15" xfId="5" applyFont="1" applyBorder="1" applyAlignment="1">
      <alignment horizontal="center" vertical="top"/>
    </xf>
    <xf numFmtId="0" fontId="5" fillId="0" borderId="20" xfId="5" applyFont="1" applyBorder="1" applyAlignment="1">
      <alignment horizontal="center" vertical="top"/>
    </xf>
    <xf numFmtId="0" fontId="5" fillId="0" borderId="58" xfId="5" applyFont="1" applyBorder="1" applyAlignment="1">
      <alignment horizontal="center" vertical="top"/>
    </xf>
    <xf numFmtId="0" fontId="5" fillId="0" borderId="62" xfId="5" applyFont="1" applyBorder="1" applyAlignment="1">
      <alignment horizontal="center" vertical="top"/>
    </xf>
    <xf numFmtId="0" fontId="5" fillId="0" borderId="2" xfId="5" applyFont="1" applyBorder="1" applyAlignment="1">
      <alignment horizontal="center" vertical="top"/>
    </xf>
    <xf numFmtId="0" fontId="4" fillId="0" borderId="13" xfId="5" applyBorder="1" applyAlignment="1">
      <alignment vertical="top"/>
    </xf>
    <xf numFmtId="0" fontId="4" fillId="0" borderId="31" xfId="5" applyBorder="1" applyAlignment="1">
      <alignment vertical="top"/>
    </xf>
    <xf numFmtId="0" fontId="4" fillId="0" borderId="16" xfId="5" applyBorder="1" applyAlignment="1">
      <alignment horizontal="center" vertical="top"/>
    </xf>
    <xf numFmtId="0" fontId="4" fillId="0" borderId="59" xfId="5" applyBorder="1" applyAlignment="1">
      <alignment horizontal="center" vertical="top"/>
    </xf>
    <xf numFmtId="0" fontId="5" fillId="0" borderId="16" xfId="5" applyFont="1" applyBorder="1" applyAlignment="1">
      <alignment horizontal="center" vertical="top" wrapText="1"/>
    </xf>
    <xf numFmtId="0" fontId="5" fillId="0" borderId="9" xfId="0" applyFont="1" applyBorder="1" applyAlignment="1">
      <alignment horizontal="center" vertical="top" wrapText="1"/>
    </xf>
    <xf numFmtId="0" fontId="4" fillId="0" borderId="59" xfId="0" applyFont="1" applyBorder="1" applyAlignment="1">
      <alignment horizontal="center" vertical="top"/>
    </xf>
    <xf numFmtId="0" fontId="13" fillId="0" borderId="14" xfId="0" applyFont="1" applyBorder="1" applyAlignment="1">
      <alignment vertical="top"/>
    </xf>
    <xf numFmtId="0" fontId="24" fillId="0" borderId="15" xfId="0" applyFont="1" applyBorder="1" applyAlignment="1">
      <alignment horizontal="center" vertical="top"/>
    </xf>
    <xf numFmtId="0" fontId="24" fillId="0" borderId="20" xfId="0" applyFont="1" applyBorder="1" applyAlignment="1">
      <alignment horizontal="center" vertical="top"/>
    </xf>
    <xf numFmtId="0" fontId="26" fillId="0" borderId="22" xfId="0" applyFont="1" applyBorder="1" applyAlignment="1">
      <alignment vertical="top" wrapText="1"/>
    </xf>
    <xf numFmtId="0" fontId="26" fillId="0" borderId="22" xfId="0" applyFont="1" applyBorder="1" applyAlignment="1">
      <alignment vertical="top"/>
    </xf>
    <xf numFmtId="0" fontId="26" fillId="0" borderId="43" xfId="0" applyFont="1" applyBorder="1" applyAlignment="1">
      <alignment vertical="top"/>
    </xf>
    <xf numFmtId="0" fontId="8" fillId="0" borderId="41" xfId="0" applyFont="1" applyBorder="1" applyAlignment="1">
      <alignment vertical="top"/>
    </xf>
    <xf numFmtId="0" fontId="11" fillId="0" borderId="15" xfId="0" applyFont="1" applyBorder="1" applyAlignment="1">
      <alignment horizontal="center" vertical="top" wrapText="1"/>
    </xf>
    <xf numFmtId="0" fontId="26" fillId="0" borderId="15" xfId="0" applyFont="1" applyBorder="1" applyAlignment="1">
      <alignment vertical="top" wrapText="1"/>
    </xf>
    <xf numFmtId="0" fontId="4" fillId="0" borderId="22" xfId="0" applyFont="1" applyBorder="1" applyAlignment="1">
      <alignment vertical="top" wrapText="1"/>
    </xf>
    <xf numFmtId="0" fontId="26" fillId="0" borderId="20" xfId="0" applyFont="1" applyBorder="1" applyAlignment="1">
      <alignment vertical="top" wrapText="1"/>
    </xf>
    <xf numFmtId="0" fontId="11" fillId="0" borderId="35" xfId="0" applyFont="1" applyBorder="1" applyAlignment="1">
      <alignment horizontal="left" vertical="top"/>
    </xf>
    <xf numFmtId="0" fontId="11" fillId="0" borderId="0" xfId="0" applyFont="1" applyAlignment="1">
      <alignment vertical="top"/>
    </xf>
    <xf numFmtId="0" fontId="11" fillId="0" borderId="78" xfId="0" applyFont="1" applyBorder="1" applyAlignment="1">
      <alignment horizontal="center" vertical="top"/>
    </xf>
    <xf numFmtId="0" fontId="11" fillId="0" borderId="60" xfId="0" applyFont="1" applyBorder="1" applyAlignment="1">
      <alignment vertical="top"/>
    </xf>
    <xf numFmtId="0" fontId="5" fillId="0" borderId="19" xfId="5" applyFont="1" applyBorder="1" applyAlignment="1">
      <alignment horizontal="center" vertical="top"/>
    </xf>
    <xf numFmtId="43" fontId="5" fillId="0" borderId="21" xfId="5" applyNumberFormat="1" applyFont="1" applyBorder="1" applyAlignment="1">
      <alignment horizontal="center" vertical="top"/>
    </xf>
    <xf numFmtId="0" fontId="5" fillId="0" borderId="78" xfId="5" applyFont="1" applyBorder="1" applyAlignment="1">
      <alignment horizontal="center" vertical="top"/>
    </xf>
    <xf numFmtId="0" fontId="5" fillId="0" borderId="60" xfId="5" applyFont="1" applyBorder="1" applyAlignment="1">
      <alignment horizontal="center" vertical="top"/>
    </xf>
    <xf numFmtId="0" fontId="14" fillId="0" borderId="78" xfId="0" applyFont="1" applyBorder="1" applyAlignment="1">
      <alignment horizontal="center" vertical="top"/>
    </xf>
    <xf numFmtId="0" fontId="4" fillId="0" borderId="62" xfId="0" applyFont="1" applyBorder="1" applyAlignment="1">
      <alignment horizontal="center" vertical="top"/>
    </xf>
    <xf numFmtId="0" fontId="4" fillId="0" borderId="19" xfId="0" applyFont="1" applyBorder="1" applyAlignment="1">
      <alignment vertical="top"/>
    </xf>
    <xf numFmtId="0" fontId="5" fillId="0" borderId="78" xfId="5" applyFont="1" applyBorder="1"/>
    <xf numFmtId="0" fontId="27" fillId="2" borderId="66" xfId="5" applyFont="1" applyFill="1" applyBorder="1" applyAlignment="1">
      <alignment horizontal="center" vertical="center"/>
    </xf>
    <xf numFmtId="0" fontId="4" fillId="0" borderId="45" xfId="5" applyBorder="1"/>
    <xf numFmtId="0" fontId="28" fillId="2" borderId="72" xfId="5" applyFont="1" applyFill="1" applyBorder="1" applyAlignment="1">
      <alignment horizontal="center" vertical="center"/>
    </xf>
    <xf numFmtId="0" fontId="4" fillId="6" borderId="11" xfId="0" applyFont="1" applyFill="1" applyBorder="1" applyAlignment="1">
      <alignment vertical="top"/>
    </xf>
    <xf numFmtId="0" fontId="5" fillId="6" borderId="11" xfId="0" applyFont="1" applyFill="1" applyBorder="1" applyAlignment="1">
      <alignment vertical="top"/>
    </xf>
    <xf numFmtId="0" fontId="4" fillId="0" borderId="43" xfId="5" applyBorder="1" applyAlignment="1">
      <alignment horizontal="center" vertical="top"/>
    </xf>
    <xf numFmtId="0" fontId="5" fillId="0" borderId="60" xfId="5" applyFont="1" applyBorder="1" applyAlignment="1">
      <alignment horizontal="center"/>
    </xf>
    <xf numFmtId="0" fontId="14" fillId="6" borderId="0" xfId="0" applyFont="1" applyFill="1" applyAlignment="1">
      <alignment vertical="top" wrapText="1"/>
    </xf>
    <xf numFmtId="0" fontId="14" fillId="0" borderId="11" xfId="0" applyFont="1" applyBorder="1" applyAlignment="1">
      <alignment horizontal="center" vertical="top"/>
    </xf>
    <xf numFmtId="0" fontId="14" fillId="0" borderId="0" xfId="0" applyFont="1" applyAlignment="1">
      <alignment horizontal="right" vertical="top"/>
    </xf>
    <xf numFmtId="0" fontId="4" fillId="0" borderId="48" xfId="0" applyFont="1" applyBorder="1" applyAlignment="1">
      <alignment horizontal="center" vertical="top"/>
    </xf>
    <xf numFmtId="0" fontId="5" fillId="0" borderId="23" xfId="5" applyFont="1" applyBorder="1" applyAlignment="1">
      <alignment horizontal="center" vertical="top"/>
    </xf>
    <xf numFmtId="0" fontId="5" fillId="0" borderId="58" xfId="5" applyFont="1" applyBorder="1" applyAlignment="1">
      <alignment vertical="top"/>
    </xf>
    <xf numFmtId="0" fontId="5" fillId="0" borderId="35" xfId="5" applyFont="1" applyBorder="1" applyAlignment="1">
      <alignment vertical="top"/>
    </xf>
    <xf numFmtId="0" fontId="5" fillId="0" borderId="62" xfId="5" applyFont="1" applyBorder="1" applyAlignment="1">
      <alignment vertical="top"/>
    </xf>
    <xf numFmtId="0" fontId="11" fillId="7" borderId="13" xfId="0" applyFont="1" applyFill="1" applyBorder="1" applyAlignment="1">
      <alignment vertical="top" wrapText="1"/>
    </xf>
    <xf numFmtId="0" fontId="7" fillId="0" borderId="39" xfId="0" applyFont="1" applyBorder="1" applyAlignment="1">
      <alignment horizontal="center" vertical="center"/>
    </xf>
    <xf numFmtId="0" fontId="11" fillId="7" borderId="13" xfId="0" applyFont="1" applyFill="1" applyBorder="1" applyAlignment="1">
      <alignment horizontal="center" vertical="top" wrapText="1"/>
    </xf>
    <xf numFmtId="0" fontId="11" fillId="7" borderId="31" xfId="0" applyFont="1" applyFill="1" applyBorder="1" applyAlignment="1">
      <alignment horizontal="center" vertical="top" wrapText="1"/>
    </xf>
    <xf numFmtId="43" fontId="4" fillId="4" borderId="59" xfId="1" applyFont="1" applyFill="1" applyBorder="1" applyAlignment="1">
      <alignment horizontal="center" vertical="top"/>
    </xf>
    <xf numFmtId="43" fontId="4" fillId="4" borderId="8" xfId="1" applyFont="1" applyFill="1" applyBorder="1" applyAlignment="1">
      <alignment vertical="top"/>
    </xf>
    <xf numFmtId="0" fontId="11" fillId="0" borderId="13" xfId="9" applyFont="1" applyBorder="1" applyAlignment="1">
      <alignment vertical="top"/>
    </xf>
    <xf numFmtId="0" fontId="5" fillId="0" borderId="21" xfId="5" applyFont="1" applyBorder="1" applyAlignment="1">
      <alignment horizontal="center" vertical="top"/>
    </xf>
    <xf numFmtId="0" fontId="3" fillId="0" borderId="6" xfId="0" applyFont="1" applyBorder="1" applyAlignment="1">
      <alignment horizontal="center" vertical="top"/>
    </xf>
    <xf numFmtId="0" fontId="4" fillId="0" borderId="71" xfId="5" applyBorder="1" applyAlignment="1">
      <alignment vertical="top"/>
    </xf>
    <xf numFmtId="0" fontId="4" fillId="0" borderId="6" xfId="5" applyBorder="1" applyAlignment="1">
      <alignment vertical="top"/>
    </xf>
    <xf numFmtId="0" fontId="4" fillId="0" borderId="71" xfId="5" applyBorder="1" applyAlignment="1">
      <alignment vertical="top" wrapText="1"/>
    </xf>
    <xf numFmtId="0" fontId="5" fillId="0" borderId="0" xfId="0" applyFont="1" applyAlignment="1">
      <alignment horizontal="center" vertical="top" wrapText="1"/>
    </xf>
    <xf numFmtId="0" fontId="5" fillId="0" borderId="0" xfId="0" applyFont="1" applyAlignment="1">
      <alignment horizontal="left" vertical="top" wrapText="1"/>
    </xf>
    <xf numFmtId="43" fontId="4" fillId="0" borderId="4" xfId="1" applyFont="1" applyFill="1" applyBorder="1" applyAlignment="1">
      <alignment horizontal="left" vertical="top" wrapText="1"/>
    </xf>
    <xf numFmtId="0" fontId="5" fillId="0" borderId="36" xfId="0" applyFont="1" applyBorder="1" applyAlignment="1">
      <alignment horizontal="center" vertical="top" wrapText="1"/>
    </xf>
    <xf numFmtId="0" fontId="5" fillId="0" borderId="5" xfId="0" applyFont="1" applyBorder="1" applyAlignment="1">
      <alignment horizontal="center" vertical="top" wrapText="1"/>
    </xf>
    <xf numFmtId="43" fontId="4" fillId="0" borderId="4" xfId="1" applyFont="1" applyFill="1" applyBorder="1" applyAlignment="1">
      <alignment vertical="top" wrapText="1"/>
    </xf>
    <xf numFmtId="43" fontId="7" fillId="0" borderId="34" xfId="1" applyFont="1" applyFill="1" applyBorder="1" applyAlignment="1">
      <alignment horizontal="center" vertical="center"/>
    </xf>
    <xf numFmtId="0" fontId="5" fillId="0" borderId="17" xfId="0" applyFont="1" applyBorder="1" applyAlignment="1">
      <alignment horizontal="center" vertical="top"/>
    </xf>
    <xf numFmtId="0" fontId="5" fillId="0" borderId="14" xfId="0" applyFont="1" applyBorder="1" applyAlignment="1">
      <alignment horizontal="left" vertical="top" wrapText="1"/>
    </xf>
    <xf numFmtId="0" fontId="14" fillId="0" borderId="22" xfId="0" applyFont="1" applyBorder="1" applyAlignment="1">
      <alignment horizontal="right" vertical="top"/>
    </xf>
    <xf numFmtId="0" fontId="4" fillId="0" borderId="71" xfId="0" applyFont="1" applyBorder="1" applyAlignment="1">
      <alignment horizontal="left" vertical="center"/>
    </xf>
    <xf numFmtId="0" fontId="4" fillId="0" borderId="68" xfId="5" applyBorder="1" applyAlignment="1">
      <alignment vertical="top"/>
    </xf>
    <xf numFmtId="0" fontId="4" fillId="0" borderId="63" xfId="5" applyBorder="1" applyAlignment="1">
      <alignment horizontal="center" vertical="top"/>
    </xf>
    <xf numFmtId="0" fontId="4" fillId="0" borderId="47" xfId="5" applyBorder="1" applyAlignment="1">
      <alignment vertical="top"/>
    </xf>
    <xf numFmtId="0" fontId="4" fillId="0" borderId="55" xfId="5" applyBorder="1" applyAlignment="1">
      <alignment vertical="top"/>
    </xf>
    <xf numFmtId="0" fontId="3" fillId="0" borderId="77" xfId="0" applyFont="1" applyBorder="1" applyAlignment="1">
      <alignment vertical="top"/>
    </xf>
    <xf numFmtId="0" fontId="3" fillId="2" borderId="6" xfId="0" applyFont="1" applyFill="1" applyBorder="1" applyAlignment="1">
      <alignment horizontal="center" vertical="top"/>
    </xf>
    <xf numFmtId="0" fontId="4" fillId="0" borderId="77" xfId="5" applyBorder="1" applyAlignment="1">
      <alignment vertical="top"/>
    </xf>
    <xf numFmtId="0" fontId="4" fillId="0" borderId="68" xfId="5" applyBorder="1" applyAlignment="1">
      <alignment horizontal="center" vertical="top"/>
    </xf>
    <xf numFmtId="0" fontId="4" fillId="3" borderId="30" xfId="5" applyFill="1" applyBorder="1" applyAlignment="1">
      <alignment vertical="top"/>
    </xf>
    <xf numFmtId="0" fontId="4" fillId="3" borderId="62" xfId="5" applyFill="1" applyBorder="1" applyAlignment="1">
      <alignment horizontal="center" vertical="top"/>
    </xf>
    <xf numFmtId="0" fontId="8" fillId="0" borderId="44" xfId="0" applyFont="1" applyBorder="1" applyAlignment="1">
      <alignment vertical="top" wrapText="1"/>
    </xf>
    <xf numFmtId="0" fontId="4" fillId="3" borderId="77" xfId="5" applyFill="1" applyBorder="1" applyAlignment="1">
      <alignment vertical="top"/>
    </xf>
    <xf numFmtId="0" fontId="4" fillId="3" borderId="69" xfId="5" applyFill="1" applyBorder="1" applyAlignment="1">
      <alignment horizontal="center" vertical="top"/>
    </xf>
    <xf numFmtId="0" fontId="7" fillId="0" borderId="0" xfId="5" applyFont="1" applyAlignment="1">
      <alignment horizontal="center" vertical="top"/>
    </xf>
    <xf numFmtId="0" fontId="5" fillId="0" borderId="22" xfId="0" applyFont="1" applyBorder="1" applyAlignment="1">
      <alignment horizontal="left" vertical="top" wrapText="1"/>
    </xf>
    <xf numFmtId="0" fontId="4" fillId="0" borderId="79" xfId="5" applyBorder="1" applyAlignment="1">
      <alignment vertical="top"/>
    </xf>
    <xf numFmtId="43" fontId="15" fillId="0" borderId="31" xfId="1" applyFont="1" applyFill="1" applyBorder="1" applyAlignment="1">
      <alignment horizontal="center" vertical="center" wrapText="1"/>
    </xf>
    <xf numFmtId="0" fontId="4" fillId="0" borderId="23" xfId="5" applyBorder="1" applyAlignment="1">
      <alignment horizontal="center" vertical="top" wrapText="1"/>
    </xf>
    <xf numFmtId="171" fontId="3" fillId="0" borderId="21" xfId="1" applyNumberFormat="1" applyFont="1" applyBorder="1" applyAlignment="1">
      <alignment vertical="top"/>
    </xf>
    <xf numFmtId="171" fontId="3" fillId="0" borderId="40" xfId="1" applyNumberFormat="1" applyFont="1" applyBorder="1" applyAlignment="1">
      <alignment vertical="top"/>
    </xf>
    <xf numFmtId="171" fontId="3" fillId="0" borderId="47" xfId="1" applyNumberFormat="1" applyFont="1" applyBorder="1" applyAlignment="1">
      <alignment vertical="top"/>
    </xf>
    <xf numFmtId="171" fontId="3" fillId="0" borderId="0" xfId="1" applyNumberFormat="1" applyFont="1" applyBorder="1" applyAlignment="1">
      <alignment horizontal="center" vertical="top"/>
    </xf>
    <xf numFmtId="0" fontId="42" fillId="0" borderId="0" xfId="18"/>
    <xf numFmtId="164" fontId="40" fillId="0" borderId="0" xfId="19" applyFont="1" applyFill="1" applyBorder="1"/>
    <xf numFmtId="9" fontId="40" fillId="0" borderId="0" xfId="18" applyNumberFormat="1" applyFont="1" applyAlignment="1">
      <alignment horizontal="center"/>
    </xf>
    <xf numFmtId="164" fontId="42" fillId="0" borderId="0" xfId="18" applyNumberFormat="1"/>
    <xf numFmtId="164" fontId="40" fillId="0" borderId="0" xfId="19" applyFont="1" applyBorder="1"/>
    <xf numFmtId="166" fontId="0" fillId="0" borderId="0" xfId="19" applyNumberFormat="1" applyFont="1"/>
    <xf numFmtId="171" fontId="3" fillId="0" borderId="0" xfId="1" applyNumberFormat="1" applyFont="1" applyBorder="1" applyAlignment="1">
      <alignment horizontal="left" vertical="top"/>
    </xf>
    <xf numFmtId="166" fontId="40" fillId="0" borderId="13" xfId="19" applyNumberFormat="1" applyFont="1" applyBorder="1"/>
    <xf numFmtId="166" fontId="40" fillId="0" borderId="13" xfId="19" applyNumberFormat="1" applyFont="1" applyBorder="1" applyAlignment="1">
      <alignment horizontal="center"/>
    </xf>
    <xf numFmtId="166" fontId="0" fillId="0" borderId="0" xfId="19" applyNumberFormat="1" applyFont="1" applyBorder="1"/>
    <xf numFmtId="166" fontId="41" fillId="0" borderId="20" xfId="19" applyNumberFormat="1" applyFont="1" applyBorder="1" applyAlignment="1">
      <alignment horizontal="center" vertical="justify"/>
    </xf>
    <xf numFmtId="0" fontId="41" fillId="0" borderId="76" xfId="18" applyFont="1" applyBorder="1" applyAlignment="1">
      <alignment horizontal="left"/>
    </xf>
    <xf numFmtId="0" fontId="41" fillId="0" borderId="16" xfId="0" applyFont="1" applyBorder="1" applyAlignment="1">
      <alignment horizontal="center" vertical="center"/>
    </xf>
    <xf numFmtId="166" fontId="41" fillId="0" borderId="16" xfId="19" applyNumberFormat="1" applyFont="1" applyBorder="1" applyAlignment="1">
      <alignment horizontal="center" vertical="center"/>
    </xf>
    <xf numFmtId="0" fontId="40" fillId="0" borderId="18" xfId="0" applyFont="1" applyBorder="1" applyAlignment="1">
      <alignment horizontal="center" vertical="justify"/>
    </xf>
    <xf numFmtId="166" fontId="41" fillId="0" borderId="18" xfId="19" applyNumberFormat="1" applyFont="1" applyBorder="1" applyAlignment="1">
      <alignment horizontal="center" vertical="justify"/>
    </xf>
    <xf numFmtId="166" fontId="41" fillId="0" borderId="57" xfId="19" applyNumberFormat="1" applyFont="1" applyBorder="1" applyAlignment="1">
      <alignment horizontal="center" vertical="justify"/>
    </xf>
    <xf numFmtId="166" fontId="41" fillId="0" borderId="19" xfId="19" applyNumberFormat="1" applyFont="1" applyBorder="1" applyAlignment="1">
      <alignment horizontal="center" vertical="justify"/>
    </xf>
    <xf numFmtId="0" fontId="40" fillId="0" borderId="13" xfId="0" applyFont="1" applyBorder="1"/>
    <xf numFmtId="166" fontId="40" fillId="0" borderId="7" xfId="19" applyNumberFormat="1" applyFont="1" applyBorder="1"/>
    <xf numFmtId="164" fontId="40" fillId="0" borderId="0" xfId="14" applyFont="1" applyFill="1" applyBorder="1"/>
    <xf numFmtId="166" fontId="0" fillId="0" borderId="0" xfId="14" applyNumberFormat="1" applyFont="1"/>
    <xf numFmtId="166" fontId="41" fillId="0" borderId="14" xfId="19" applyNumberFormat="1" applyFont="1" applyBorder="1" applyAlignment="1">
      <alignment horizontal="center" vertical="center"/>
    </xf>
    <xf numFmtId="43" fontId="0" fillId="0" borderId="0" xfId="1" applyFont="1"/>
    <xf numFmtId="166" fontId="40" fillId="0" borderId="13" xfId="19" applyNumberFormat="1" applyFont="1" applyFill="1" applyBorder="1"/>
    <xf numFmtId="166" fontId="40" fillId="0" borderId="7" xfId="19" applyNumberFormat="1" applyFont="1" applyFill="1" applyBorder="1"/>
    <xf numFmtId="0" fontId="41" fillId="0" borderId="56" xfId="0" applyFont="1" applyBorder="1" applyAlignment="1">
      <alignment horizontal="center" vertical="center"/>
    </xf>
    <xf numFmtId="166" fontId="43" fillId="0" borderId="59" xfId="19" applyNumberFormat="1" applyFont="1" applyBorder="1" applyAlignment="1">
      <alignment horizontal="center" vertical="center"/>
    </xf>
    <xf numFmtId="0" fontId="40" fillId="0" borderId="30" xfId="0" applyFont="1" applyBorder="1" applyAlignment="1">
      <alignment horizontal="center" vertical="justify"/>
    </xf>
    <xf numFmtId="166" fontId="41" fillId="0" borderId="46" xfId="19" applyNumberFormat="1" applyFont="1" applyBorder="1" applyAlignment="1">
      <alignment horizontal="center" vertical="justify"/>
    </xf>
    <xf numFmtId="0" fontId="40" fillId="0" borderId="6" xfId="0" applyFont="1" applyBorder="1"/>
    <xf numFmtId="166" fontId="40" fillId="0" borderId="31" xfId="19" applyNumberFormat="1" applyFont="1" applyBorder="1"/>
    <xf numFmtId="166" fontId="40" fillId="0" borderId="31" xfId="19" applyNumberFormat="1" applyFont="1" applyFill="1" applyBorder="1"/>
    <xf numFmtId="0" fontId="40" fillId="0" borderId="63" xfId="0" applyFont="1" applyBorder="1"/>
    <xf numFmtId="0" fontId="41" fillId="0" borderId="47" xfId="0" applyFont="1" applyBorder="1"/>
    <xf numFmtId="166" fontId="41" fillId="0" borderId="47" xfId="19" applyNumberFormat="1" applyFont="1" applyBorder="1"/>
    <xf numFmtId="166" fontId="41" fillId="0" borderId="55" xfId="19" applyNumberFormat="1" applyFont="1" applyBorder="1"/>
    <xf numFmtId="9" fontId="40" fillId="0" borderId="13" xfId="20" applyFont="1" applyBorder="1" applyAlignment="1">
      <alignment horizontal="center"/>
    </xf>
    <xf numFmtId="0" fontId="45" fillId="0" borderId="0" xfId="0" applyFont="1"/>
    <xf numFmtId="0" fontId="42" fillId="0" borderId="49" xfId="18" applyBorder="1"/>
    <xf numFmtId="0" fontId="41" fillId="0" borderId="65" xfId="0" applyFont="1" applyBorder="1"/>
    <xf numFmtId="166" fontId="41" fillId="0" borderId="65" xfId="19" applyNumberFormat="1" applyFont="1" applyBorder="1"/>
    <xf numFmtId="166" fontId="41" fillId="0" borderId="75" xfId="19" applyNumberFormat="1" applyFont="1" applyBorder="1"/>
    <xf numFmtId="166" fontId="0" fillId="0" borderId="0" xfId="0" applyNumberFormat="1"/>
    <xf numFmtId="166" fontId="0" fillId="0" borderId="80" xfId="0" applyNumberFormat="1" applyBorder="1"/>
    <xf numFmtId="171" fontId="41" fillId="0" borderId="47" xfId="1" applyNumberFormat="1" applyFont="1" applyBorder="1"/>
    <xf numFmtId="164" fontId="40" fillId="0" borderId="13" xfId="19" applyFont="1" applyBorder="1"/>
    <xf numFmtId="164" fontId="41" fillId="0" borderId="47" xfId="19" applyFont="1" applyBorder="1"/>
    <xf numFmtId="164" fontId="40" fillId="0" borderId="31" xfId="19" applyFont="1" applyFill="1" applyBorder="1"/>
    <xf numFmtId="43" fontId="41" fillId="0" borderId="47" xfId="1" applyFont="1" applyBorder="1"/>
    <xf numFmtId="164" fontId="40" fillId="0" borderId="7" xfId="19" applyFont="1" applyFill="1" applyBorder="1"/>
    <xf numFmtId="164" fontId="41" fillId="0" borderId="55" xfId="19" applyFont="1" applyBorder="1"/>
    <xf numFmtId="164" fontId="41" fillId="0" borderId="73" xfId="19" applyFont="1" applyBorder="1"/>
    <xf numFmtId="164" fontId="41" fillId="0" borderId="65" xfId="19" applyFont="1" applyBorder="1"/>
    <xf numFmtId="164" fontId="40" fillId="0" borderId="13" xfId="19" applyFont="1" applyFill="1" applyBorder="1"/>
    <xf numFmtId="164" fontId="0" fillId="0" borderId="0" xfId="19" applyFont="1"/>
    <xf numFmtId="171" fontId="40" fillId="0" borderId="13" xfId="1" applyNumberFormat="1" applyFont="1" applyBorder="1"/>
    <xf numFmtId="0" fontId="46" fillId="0" borderId="0" xfId="0" applyFont="1"/>
    <xf numFmtId="0" fontId="0" fillId="9" borderId="0" xfId="0" applyFill="1"/>
    <xf numFmtId="0" fontId="46" fillId="9" borderId="0" xfId="0" applyFont="1" applyFill="1"/>
    <xf numFmtId="0" fontId="0" fillId="0" borderId="0" xfId="0" applyAlignment="1">
      <alignment vertical="top" wrapText="1"/>
    </xf>
    <xf numFmtId="0" fontId="46" fillId="0" borderId="0" xfId="0" applyFont="1" applyAlignment="1">
      <alignment vertical="top" wrapText="1"/>
    </xf>
    <xf numFmtId="1" fontId="0" fillId="0" borderId="0" xfId="0" applyNumberFormat="1"/>
    <xf numFmtId="1" fontId="46" fillId="0" borderId="0" xfId="0" applyNumberFormat="1" applyFont="1"/>
    <xf numFmtId="0" fontId="48" fillId="0" borderId="0" xfId="0" applyFont="1" applyAlignment="1">
      <alignment vertical="top" wrapText="1"/>
    </xf>
    <xf numFmtId="0" fontId="47" fillId="0" borderId="0" xfId="0" applyFont="1"/>
    <xf numFmtId="0" fontId="48" fillId="0" borderId="0" xfId="0" applyFont="1"/>
    <xf numFmtId="0" fontId="46" fillId="2" borderId="0" xfId="0" applyFont="1" applyFill="1"/>
    <xf numFmtId="1" fontId="48" fillId="0" borderId="0" xfId="0" applyNumberFormat="1" applyFont="1"/>
    <xf numFmtId="166" fontId="49" fillId="2" borderId="13" xfId="19" applyNumberFormat="1" applyFont="1" applyFill="1" applyBorder="1"/>
    <xf numFmtId="49" fontId="37" fillId="0" borderId="36" xfId="0" applyNumberFormat="1" applyFont="1" applyBorder="1" applyAlignment="1">
      <alignment horizontal="left" vertical="top" indent="2"/>
    </xf>
    <xf numFmtId="49" fontId="37" fillId="0" borderId="57" xfId="0" applyNumberFormat="1" applyFont="1" applyBorder="1" applyAlignment="1">
      <alignment horizontal="left" vertical="top" indent="2"/>
    </xf>
    <xf numFmtId="2" fontId="0" fillId="0" borderId="0" xfId="0" applyNumberFormat="1"/>
    <xf numFmtId="2" fontId="46" fillId="2" borderId="0" xfId="0" applyNumberFormat="1" applyFont="1" applyFill="1"/>
    <xf numFmtId="0" fontId="46" fillId="0" borderId="0" xfId="0" applyFont="1" applyAlignment="1">
      <alignment horizontal="center"/>
    </xf>
    <xf numFmtId="171" fontId="0" fillId="0" borderId="84" xfId="1" applyNumberFormat="1" applyFont="1" applyBorder="1"/>
    <xf numFmtId="171" fontId="0" fillId="0" borderId="81" xfId="1" applyNumberFormat="1" applyFont="1" applyBorder="1"/>
    <xf numFmtId="171" fontId="0" fillId="0" borderId="83" xfId="1" applyNumberFormat="1" applyFont="1" applyBorder="1"/>
    <xf numFmtId="171" fontId="0" fillId="0" borderId="85" xfId="1" applyNumberFormat="1" applyFont="1" applyBorder="1"/>
    <xf numFmtId="171" fontId="0" fillId="0" borderId="86" xfId="1" applyNumberFormat="1" applyFont="1" applyBorder="1"/>
    <xf numFmtId="171" fontId="0" fillId="0" borderId="82" xfId="1" applyNumberFormat="1" applyFont="1" applyBorder="1"/>
    <xf numFmtId="171" fontId="0" fillId="0" borderId="87" xfId="1" applyNumberFormat="1" applyFont="1" applyBorder="1"/>
    <xf numFmtId="171" fontId="0" fillId="0" borderId="88" xfId="1" applyNumberFormat="1" applyFont="1" applyBorder="1"/>
    <xf numFmtId="171" fontId="0" fillId="0" borderId="89" xfId="1" applyNumberFormat="1" applyFont="1" applyBorder="1"/>
    <xf numFmtId="0" fontId="46" fillId="0" borderId="65" xfId="0" applyFont="1" applyBorder="1" applyAlignment="1">
      <alignment horizontal="center"/>
    </xf>
    <xf numFmtId="0" fontId="46" fillId="0" borderId="75" xfId="0" applyFont="1" applyBorder="1" applyAlignment="1">
      <alignment horizontal="center"/>
    </xf>
    <xf numFmtId="0" fontId="46" fillId="0" borderId="66" xfId="0" applyFont="1" applyBorder="1" applyAlignment="1">
      <alignment horizontal="center"/>
    </xf>
    <xf numFmtId="0" fontId="46" fillId="0" borderId="72" xfId="0" applyFont="1" applyBorder="1" applyAlignment="1">
      <alignment horizontal="center"/>
    </xf>
    <xf numFmtId="0" fontId="0" fillId="0" borderId="90" xfId="0" applyBorder="1"/>
    <xf numFmtId="0" fontId="4" fillId="6" borderId="91" xfId="6" applyNumberFormat="1" applyFont="1" applyFill="1" applyBorder="1" applyAlignment="1">
      <alignment vertical="top"/>
    </xf>
    <xf numFmtId="0" fontId="4" fillId="0" borderId="91" xfId="6" applyNumberFormat="1" applyFont="1" applyBorder="1" applyAlignment="1">
      <alignment vertical="top"/>
    </xf>
    <xf numFmtId="0" fontId="4" fillId="6" borderId="92" xfId="6" applyNumberFormat="1" applyFont="1" applyFill="1" applyBorder="1" applyAlignment="1">
      <alignment vertical="top"/>
    </xf>
    <xf numFmtId="0" fontId="5" fillId="2" borderId="77" xfId="6" applyNumberFormat="1" applyFont="1" applyFill="1" applyBorder="1" applyAlignment="1">
      <alignment vertical="top"/>
    </xf>
    <xf numFmtId="171" fontId="46" fillId="2" borderId="37" xfId="1" applyNumberFormat="1" applyFont="1" applyFill="1" applyBorder="1"/>
    <xf numFmtId="171" fontId="46" fillId="2" borderId="47" xfId="1" applyNumberFormat="1" applyFont="1" applyFill="1" applyBorder="1"/>
    <xf numFmtId="171" fontId="46" fillId="2" borderId="55" xfId="1" applyNumberFormat="1" applyFont="1" applyFill="1" applyBorder="1"/>
    <xf numFmtId="0" fontId="5" fillId="6" borderId="91" xfId="6" applyNumberFormat="1" applyFont="1" applyFill="1" applyBorder="1" applyAlignment="1">
      <alignment vertical="top"/>
    </xf>
    <xf numFmtId="0" fontId="4" fillId="6" borderId="90" xfId="6" applyNumberFormat="1" applyFont="1" applyFill="1" applyBorder="1" applyAlignment="1">
      <alignment vertical="top"/>
    </xf>
    <xf numFmtId="171" fontId="46" fillId="3" borderId="8" xfId="1" applyNumberFormat="1" applyFont="1" applyFill="1" applyBorder="1"/>
    <xf numFmtId="0" fontId="5" fillId="3" borderId="77" xfId="6" applyNumberFormat="1" applyFont="1" applyFill="1" applyBorder="1" applyAlignment="1">
      <alignment vertical="top"/>
    </xf>
    <xf numFmtId="171" fontId="46" fillId="3" borderId="37" xfId="1" applyNumberFormat="1" applyFont="1" applyFill="1" applyBorder="1"/>
    <xf numFmtId="171" fontId="46" fillId="3" borderId="47" xfId="1" applyNumberFormat="1" applyFont="1" applyFill="1" applyBorder="1"/>
    <xf numFmtId="171" fontId="46" fillId="3" borderId="55" xfId="1" applyNumberFormat="1" applyFont="1" applyFill="1" applyBorder="1"/>
    <xf numFmtId="0" fontId="5" fillId="3" borderId="71" xfId="6" applyNumberFormat="1" applyFont="1" applyFill="1" applyBorder="1" applyAlignment="1">
      <alignment vertical="top"/>
    </xf>
    <xf numFmtId="171" fontId="46" fillId="3" borderId="9" xfId="1" applyNumberFormat="1" applyFont="1" applyFill="1" applyBorder="1"/>
    <xf numFmtId="171" fontId="46" fillId="3" borderId="13" xfId="1" applyNumberFormat="1" applyFont="1" applyFill="1" applyBorder="1"/>
    <xf numFmtId="170" fontId="38" fillId="0" borderId="0" xfId="0" applyNumberFormat="1" applyFont="1" applyAlignment="1">
      <alignment horizontal="right" vertical="top"/>
    </xf>
    <xf numFmtId="172" fontId="38" fillId="0" borderId="0" xfId="0" applyNumberFormat="1" applyFont="1" applyAlignment="1">
      <alignment horizontal="right" vertical="top"/>
    </xf>
    <xf numFmtId="49" fontId="37" fillId="0" borderId="17" xfId="0" applyNumberFormat="1" applyFont="1" applyBorder="1" applyAlignment="1">
      <alignment horizontal="left" vertical="top" indent="2"/>
    </xf>
    <xf numFmtId="172" fontId="37" fillId="0" borderId="8" xfId="0" applyNumberFormat="1" applyFont="1" applyBorder="1" applyAlignment="1">
      <alignment horizontal="right" vertical="top"/>
    </xf>
    <xf numFmtId="49" fontId="37" fillId="0" borderId="8" xfId="0" applyNumberFormat="1" applyFont="1" applyBorder="1" applyAlignment="1">
      <alignment horizontal="left" vertical="top" indent="2"/>
    </xf>
    <xf numFmtId="170" fontId="37" fillId="0" borderId="8" xfId="0" applyNumberFormat="1" applyFont="1" applyBorder="1" applyAlignment="1">
      <alignment horizontal="right" vertical="top"/>
    </xf>
    <xf numFmtId="49" fontId="38" fillId="0" borderId="13" xfId="0" applyNumberFormat="1" applyFont="1" applyBorder="1" applyAlignment="1">
      <alignment horizontal="center" vertical="top"/>
    </xf>
    <xf numFmtId="49" fontId="38" fillId="0" borderId="0" xfId="0" applyNumberFormat="1" applyFont="1" applyAlignment="1">
      <alignment vertical="top"/>
    </xf>
    <xf numFmtId="49" fontId="37" fillId="0" borderId="0" xfId="0" applyNumberFormat="1" applyFont="1" applyAlignment="1">
      <alignment horizontal="left" vertical="top" indent="2"/>
    </xf>
    <xf numFmtId="37" fontId="45" fillId="0" borderId="0" xfId="19" applyNumberFormat="1" applyFont="1"/>
    <xf numFmtId="49" fontId="50" fillId="0" borderId="0" xfId="0" applyNumberFormat="1" applyFont="1" applyAlignment="1">
      <alignment vertical="top"/>
    </xf>
    <xf numFmtId="172" fontId="52" fillId="0" borderId="0" xfId="0" applyNumberFormat="1" applyFont="1" applyAlignment="1">
      <alignment horizontal="right" vertical="top"/>
    </xf>
    <xf numFmtId="170" fontId="52" fillId="0" borderId="0" xfId="0" applyNumberFormat="1" applyFont="1" applyAlignment="1">
      <alignment horizontal="right" vertical="top"/>
    </xf>
    <xf numFmtId="170" fontId="51" fillId="0" borderId="0" xfId="0" applyNumberFormat="1" applyFont="1" applyAlignment="1">
      <alignment horizontal="right" vertical="top"/>
    </xf>
    <xf numFmtId="172" fontId="51" fillId="0" borderId="0" xfId="0" applyNumberFormat="1" applyFont="1" applyAlignment="1">
      <alignment horizontal="right" vertical="top"/>
    </xf>
    <xf numFmtId="0" fontId="6" fillId="0" borderId="0" xfId="0" applyFont="1" applyAlignment="1">
      <alignment vertical="top"/>
    </xf>
    <xf numFmtId="0" fontId="0" fillId="0" borderId="0" xfId="0" applyAlignment="1">
      <alignment vertical="top"/>
    </xf>
    <xf numFmtId="14" fontId="6" fillId="0" borderId="0" xfId="0" applyNumberFormat="1" applyFont="1" applyAlignment="1">
      <alignment vertical="top"/>
    </xf>
    <xf numFmtId="0" fontId="6" fillId="0" borderId="0" xfId="0" applyFont="1" applyAlignment="1">
      <alignment vertical="top" wrapText="1"/>
    </xf>
    <xf numFmtId="171" fontId="6" fillId="0" borderId="0" xfId="1" applyNumberFormat="1" applyFont="1" applyFill="1" applyBorder="1" applyAlignment="1" applyProtection="1">
      <alignment vertical="top"/>
    </xf>
    <xf numFmtId="171" fontId="6" fillId="11" borderId="0" xfId="1" applyNumberFormat="1" applyFont="1" applyFill="1" applyBorder="1" applyAlignment="1" applyProtection="1">
      <alignment vertical="top"/>
    </xf>
    <xf numFmtId="171" fontId="6" fillId="8" borderId="0" xfId="1" applyNumberFormat="1" applyFont="1" applyFill="1" applyBorder="1" applyAlignment="1" applyProtection="1">
      <alignment vertical="top"/>
    </xf>
    <xf numFmtId="171" fontId="56" fillId="8" borderId="0" xfId="1" applyNumberFormat="1" applyFont="1" applyFill="1" applyBorder="1" applyAlignment="1" applyProtection="1">
      <alignment vertical="top"/>
    </xf>
    <xf numFmtId="0" fontId="56" fillId="8" borderId="0" xfId="0" applyFont="1" applyFill="1" applyAlignment="1">
      <alignment vertical="top" wrapText="1"/>
    </xf>
    <xf numFmtId="49" fontId="52" fillId="0" borderId="0" xfId="0" applyNumberFormat="1" applyFont="1" applyAlignment="1">
      <alignment horizontal="left" vertical="top" indent="2"/>
    </xf>
    <xf numFmtId="37" fontId="45" fillId="0" borderId="0" xfId="0" applyNumberFormat="1" applyFont="1"/>
    <xf numFmtId="37" fontId="45" fillId="0" borderId="0" xfId="1" applyNumberFormat="1" applyFont="1"/>
    <xf numFmtId="37" fontId="45" fillId="0" borderId="0" xfId="14" applyNumberFormat="1" applyFont="1"/>
    <xf numFmtId="166" fontId="45" fillId="0" borderId="0" xfId="19" applyNumberFormat="1" applyFont="1"/>
    <xf numFmtId="39" fontId="45" fillId="0" borderId="0" xfId="19" applyNumberFormat="1" applyFont="1"/>
    <xf numFmtId="166" fontId="45" fillId="2" borderId="13" xfId="19" applyNumberFormat="1" applyFont="1" applyFill="1" applyBorder="1"/>
    <xf numFmtId="166" fontId="45" fillId="0" borderId="13" xfId="19" applyNumberFormat="1" applyFont="1" applyBorder="1"/>
    <xf numFmtId="37" fontId="45" fillId="0" borderId="0" xfId="19" applyNumberFormat="1" applyFont="1" applyFill="1" applyBorder="1" applyAlignment="1">
      <alignment horizontal="center" wrapText="1"/>
    </xf>
    <xf numFmtId="37" fontId="45" fillId="0" borderId="0" xfId="19" applyNumberFormat="1" applyFont="1" applyFill="1" applyAlignment="1">
      <alignment horizontal="center" vertical="center" wrapText="1"/>
    </xf>
    <xf numFmtId="0" fontId="49" fillId="0" borderId="0" xfId="0" applyFont="1"/>
    <xf numFmtId="49" fontId="53" fillId="0" borderId="0" xfId="0" applyNumberFormat="1" applyFont="1" applyAlignment="1">
      <alignment vertical="top"/>
    </xf>
    <xf numFmtId="49" fontId="3" fillId="0" borderId="0" xfId="0" applyNumberFormat="1" applyFont="1" applyAlignment="1">
      <alignment vertical="top"/>
    </xf>
    <xf numFmtId="49" fontId="50" fillId="0" borderId="0" xfId="0" applyNumberFormat="1" applyFont="1" applyAlignment="1">
      <alignment horizontal="left" vertical="top"/>
    </xf>
    <xf numFmtId="177" fontId="50" fillId="0" borderId="0" xfId="0" applyNumberFormat="1" applyFont="1" applyAlignment="1">
      <alignment horizontal="right" vertical="top"/>
    </xf>
    <xf numFmtId="49" fontId="52" fillId="0" borderId="0" xfId="0" applyNumberFormat="1" applyFont="1" applyAlignment="1">
      <alignment horizontal="left" vertical="top"/>
    </xf>
    <xf numFmtId="177" fontId="52" fillId="0" borderId="0" xfId="0" applyNumberFormat="1" applyFont="1" applyAlignment="1">
      <alignment horizontal="right" vertical="top"/>
    </xf>
    <xf numFmtId="176" fontId="52" fillId="0" borderId="0" xfId="0" applyNumberFormat="1" applyFont="1" applyAlignment="1">
      <alignment horizontal="right" vertical="top"/>
    </xf>
    <xf numFmtId="176" fontId="50" fillId="0" borderId="0" xfId="0" applyNumberFormat="1" applyFont="1" applyAlignment="1">
      <alignment horizontal="right" vertical="top"/>
    </xf>
    <xf numFmtId="177" fontId="57" fillId="0" borderId="0" xfId="0" applyNumberFormat="1" applyFont="1" applyAlignment="1">
      <alignment horizontal="right" vertical="top"/>
    </xf>
    <xf numFmtId="49" fontId="52" fillId="0" borderId="0" xfId="0" applyNumberFormat="1" applyFont="1" applyAlignment="1">
      <alignment horizontal="left" vertical="top" wrapText="1"/>
    </xf>
    <xf numFmtId="49" fontId="51" fillId="0" borderId="0" xfId="0" applyNumberFormat="1" applyFont="1" applyAlignment="1">
      <alignment vertical="top"/>
    </xf>
    <xf numFmtId="176" fontId="51" fillId="0" borderId="0" xfId="0" applyNumberFormat="1" applyFont="1" applyAlignment="1">
      <alignment horizontal="right" vertical="top"/>
    </xf>
    <xf numFmtId="170" fontId="54" fillId="0" borderId="0" xfId="0" applyNumberFormat="1" applyFont="1" applyAlignment="1">
      <alignment horizontal="right" vertical="top"/>
    </xf>
    <xf numFmtId="49" fontId="50" fillId="0" borderId="103" xfId="0" applyNumberFormat="1" applyFont="1" applyBorder="1" applyAlignment="1">
      <alignment horizontal="left" vertical="top" indent="2"/>
    </xf>
    <xf numFmtId="49" fontId="50" fillId="0" borderId="0" xfId="0" applyNumberFormat="1" applyFont="1" applyAlignment="1">
      <alignment horizontal="left" vertical="top" indent="2"/>
    </xf>
    <xf numFmtId="49" fontId="50" fillId="0" borderId="104" xfId="0" applyNumberFormat="1" applyFont="1" applyBorder="1" applyAlignment="1">
      <alignment horizontal="left" vertical="top" indent="2"/>
    </xf>
    <xf numFmtId="49" fontId="50" fillId="0" borderId="105" xfId="0" applyNumberFormat="1" applyFont="1" applyBorder="1" applyAlignment="1">
      <alignment horizontal="center" vertical="top"/>
    </xf>
    <xf numFmtId="49" fontId="50" fillId="0" borderId="106" xfId="0" applyNumberFormat="1" applyFont="1" applyBorder="1" applyAlignment="1">
      <alignment horizontal="left" vertical="top" indent="2"/>
    </xf>
    <xf numFmtId="49" fontId="50" fillId="0" borderId="106" xfId="0" applyNumberFormat="1" applyFont="1" applyBorder="1" applyAlignment="1">
      <alignment horizontal="center" vertical="top"/>
    </xf>
    <xf numFmtId="49" fontId="51" fillId="0" borderId="107" xfId="0" applyNumberFormat="1" applyFont="1" applyBorder="1" applyAlignment="1">
      <alignment horizontal="center" vertical="top"/>
    </xf>
    <xf numFmtId="176" fontId="50" fillId="0" borderId="108" xfId="0" applyNumberFormat="1" applyFont="1" applyBorder="1" applyAlignment="1">
      <alignment horizontal="right" vertical="top"/>
    </xf>
    <xf numFmtId="170" fontId="52" fillId="0" borderId="108" xfId="0" applyNumberFormat="1" applyFont="1" applyBorder="1" applyAlignment="1">
      <alignment horizontal="right" vertical="top"/>
    </xf>
    <xf numFmtId="49" fontId="50" fillId="0" borderId="109" xfId="0" applyNumberFormat="1" applyFont="1" applyBorder="1" applyAlignment="1">
      <alignment horizontal="left" vertical="top" indent="2"/>
    </xf>
    <xf numFmtId="176" fontId="50" fillId="0" borderId="109" xfId="0" applyNumberFormat="1" applyFont="1" applyBorder="1" applyAlignment="1">
      <alignment horizontal="right" vertical="top"/>
    </xf>
    <xf numFmtId="170" fontId="54" fillId="0" borderId="109" xfId="0" applyNumberFormat="1" applyFont="1" applyBorder="1" applyAlignment="1">
      <alignment horizontal="right" vertical="top"/>
    </xf>
    <xf numFmtId="176" fontId="58" fillId="0" borderId="0" xfId="0" applyNumberFormat="1" applyFont="1" applyAlignment="1">
      <alignment horizontal="right" vertical="top"/>
    </xf>
    <xf numFmtId="176" fontId="61" fillId="0" borderId="108" xfId="0" applyNumberFormat="1" applyFont="1" applyBorder="1" applyAlignment="1">
      <alignment horizontal="right" vertical="top"/>
    </xf>
    <xf numFmtId="0" fontId="62" fillId="0" borderId="0" xfId="0" applyFont="1" applyAlignment="1">
      <alignment vertical="top"/>
    </xf>
    <xf numFmtId="176" fontId="61" fillId="0" borderId="0" xfId="0" applyNumberFormat="1" applyFont="1" applyAlignment="1">
      <alignment horizontal="right" vertical="top"/>
    </xf>
    <xf numFmtId="0" fontId="60" fillId="0" borderId="0" xfId="0" applyFont="1" applyAlignment="1">
      <alignment vertical="top"/>
    </xf>
    <xf numFmtId="0" fontId="59" fillId="0" borderId="0" xfId="0" applyFont="1" applyAlignment="1">
      <alignment vertical="top"/>
    </xf>
    <xf numFmtId="176" fontId="63" fillId="0" borderId="0" xfId="0" applyNumberFormat="1" applyFont="1" applyAlignment="1">
      <alignment horizontal="right" vertical="top"/>
    </xf>
    <xf numFmtId="0" fontId="64" fillId="0" borderId="0" xfId="0" applyFont="1" applyAlignment="1">
      <alignment vertical="top"/>
    </xf>
    <xf numFmtId="0" fontId="56" fillId="2" borderId="0" xfId="0" applyFont="1" applyFill="1" applyAlignment="1">
      <alignment vertical="top" wrapText="1"/>
    </xf>
    <xf numFmtId="171" fontId="56" fillId="2" borderId="0" xfId="1" applyNumberFormat="1" applyFont="1" applyFill="1" applyBorder="1" applyAlignment="1" applyProtection="1">
      <alignment vertical="top"/>
    </xf>
    <xf numFmtId="171" fontId="56" fillId="8" borderId="0" xfId="1" applyNumberFormat="1" applyFont="1" applyFill="1" applyAlignment="1">
      <alignment vertical="top"/>
    </xf>
    <xf numFmtId="0" fontId="6" fillId="10" borderId="0" xfId="0" applyFont="1" applyFill="1" applyAlignment="1">
      <alignment vertical="top"/>
    </xf>
    <xf numFmtId="0" fontId="62" fillId="10" borderId="0" xfId="0" applyFont="1" applyFill="1" applyAlignment="1">
      <alignment vertical="top"/>
    </xf>
    <xf numFmtId="0" fontId="56" fillId="10" borderId="102" xfId="0" applyFont="1" applyFill="1" applyBorder="1" applyAlignment="1">
      <alignment vertical="top"/>
    </xf>
    <xf numFmtId="0" fontId="62" fillId="10" borderId="102" xfId="0" applyFont="1" applyFill="1" applyBorder="1" applyAlignment="1">
      <alignment vertical="top"/>
    </xf>
    <xf numFmtId="176" fontId="60" fillId="10" borderId="0" xfId="0" applyNumberFormat="1" applyFont="1" applyFill="1" applyAlignment="1">
      <alignment vertical="top"/>
    </xf>
    <xf numFmtId="0" fontId="64" fillId="10" borderId="0" xfId="0" applyFont="1" applyFill="1" applyAlignment="1">
      <alignment vertical="top"/>
    </xf>
    <xf numFmtId="0" fontId="64" fillId="10" borderId="102" xfId="0" applyFont="1" applyFill="1" applyBorder="1" applyAlignment="1">
      <alignment vertical="top"/>
    </xf>
    <xf numFmtId="171" fontId="55" fillId="10" borderId="93" xfId="1" applyNumberFormat="1" applyFont="1" applyFill="1" applyBorder="1" applyAlignment="1" applyProtection="1">
      <alignment vertical="top"/>
    </xf>
    <xf numFmtId="171" fontId="64" fillId="10" borderId="0" xfId="0" applyNumberFormat="1" applyFont="1" applyFill="1" applyAlignment="1">
      <alignment vertical="top"/>
    </xf>
    <xf numFmtId="0" fontId="64" fillId="0" borderId="0" xfId="0" applyFont="1" applyAlignment="1">
      <alignment vertical="top" wrapText="1"/>
    </xf>
    <xf numFmtId="166" fontId="45" fillId="2" borderId="107" xfId="19" applyNumberFormat="1" applyFont="1" applyFill="1" applyBorder="1"/>
    <xf numFmtId="166" fontId="45" fillId="0" borderId="107" xfId="19" applyNumberFormat="1" applyFont="1" applyBorder="1"/>
    <xf numFmtId="171" fontId="45" fillId="0" borderId="0" xfId="19" applyNumberFormat="1" applyFont="1"/>
    <xf numFmtId="171" fontId="45" fillId="2" borderId="0" xfId="19" applyNumberFormat="1" applyFont="1" applyFill="1"/>
    <xf numFmtId="0" fontId="45" fillId="0" borderId="0" xfId="0" applyFont="1" applyAlignment="1">
      <alignment vertical="top"/>
    </xf>
    <xf numFmtId="0" fontId="45" fillId="0" borderId="2" xfId="0" applyFont="1" applyBorder="1" applyAlignment="1">
      <alignment vertical="top"/>
    </xf>
    <xf numFmtId="171" fontId="49" fillId="0" borderId="2" xfId="1" applyNumberFormat="1" applyFont="1" applyFill="1" applyBorder="1" applyAlignment="1">
      <alignment vertical="top"/>
    </xf>
    <xf numFmtId="43" fontId="49" fillId="0" borderId="2" xfId="1" applyFont="1" applyFill="1" applyBorder="1" applyAlignment="1">
      <alignment vertical="top"/>
    </xf>
    <xf numFmtId="0" fontId="45" fillId="0" borderId="11" xfId="0" applyFont="1" applyBorder="1" applyAlignment="1">
      <alignment vertical="top"/>
    </xf>
    <xf numFmtId="0" fontId="49" fillId="0" borderId="1" xfId="0" applyFont="1" applyBorder="1" applyAlignment="1">
      <alignment horizontal="center" vertical="top"/>
    </xf>
    <xf numFmtId="0" fontId="49" fillId="0" borderId="2" xfId="0" applyFont="1" applyBorder="1" applyAlignment="1">
      <alignment horizontal="center" vertical="top"/>
    </xf>
    <xf numFmtId="0" fontId="49" fillId="0" borderId="26" xfId="0" applyFont="1" applyBorder="1" applyAlignment="1">
      <alignment horizontal="center" vertical="top" wrapText="1"/>
    </xf>
    <xf numFmtId="171" fontId="49" fillId="0" borderId="27" xfId="1" applyNumberFormat="1" applyFont="1" applyFill="1" applyBorder="1" applyAlignment="1">
      <alignment horizontal="center" vertical="top" wrapText="1"/>
    </xf>
    <xf numFmtId="0" fontId="49" fillId="0" borderId="0" xfId="0" applyFont="1" applyAlignment="1">
      <alignment horizontal="justify" vertical="top"/>
    </xf>
    <xf numFmtId="0" fontId="49" fillId="0" borderId="30" xfId="0" applyFont="1" applyBorder="1" applyAlignment="1">
      <alignment horizontal="center" vertical="top"/>
    </xf>
    <xf numFmtId="0" fontId="49" fillId="0" borderId="108" xfId="0" applyFont="1" applyBorder="1" applyAlignment="1">
      <alignment horizontal="center" vertical="top"/>
    </xf>
    <xf numFmtId="0" fontId="49" fillId="0" borderId="20" xfId="0" applyFont="1" applyBorder="1" applyAlignment="1">
      <alignment horizontal="center" vertical="top"/>
    </xf>
    <xf numFmtId="0" fontId="49" fillId="0" borderId="97" xfId="0" applyFont="1" applyBorder="1" applyAlignment="1">
      <alignment horizontal="center" vertical="top" wrapText="1"/>
    </xf>
    <xf numFmtId="171" fontId="49" fillId="0" borderId="107" xfId="1" applyNumberFormat="1" applyFont="1" applyFill="1" applyBorder="1" applyAlignment="1">
      <alignment horizontal="center" vertical="center"/>
    </xf>
    <xf numFmtId="43" fontId="49" fillId="0" borderId="31" xfId="1" applyFont="1" applyFill="1" applyBorder="1" applyAlignment="1">
      <alignment horizontal="center" vertical="center"/>
    </xf>
    <xf numFmtId="0" fontId="49" fillId="0" borderId="33" xfId="0" quotePrefix="1" applyFont="1" applyBorder="1" applyAlignment="1">
      <alignment horizontal="center" vertical="top"/>
    </xf>
    <xf numFmtId="0" fontId="49" fillId="0" borderId="105" xfId="0" applyFont="1" applyBorder="1" applyAlignment="1">
      <alignment vertical="top"/>
    </xf>
    <xf numFmtId="0" fontId="45" fillId="0" borderId="103" xfId="0" quotePrefix="1" applyFont="1" applyBorder="1" applyAlignment="1">
      <alignment horizontal="center" vertical="top"/>
    </xf>
    <xf numFmtId="0" fontId="45" fillId="0" borderId="15" xfId="0" applyFont="1" applyBorder="1" applyAlignment="1">
      <alignment vertical="top"/>
    </xf>
    <xf numFmtId="0" fontId="45" fillId="0" borderId="95" xfId="0" applyFont="1" applyBorder="1" applyAlignment="1">
      <alignment horizontal="center" vertical="top"/>
    </xf>
    <xf numFmtId="171" fontId="49" fillId="0" borderId="95" xfId="1" applyNumberFormat="1" applyFont="1" applyBorder="1" applyAlignment="1">
      <alignment vertical="top"/>
    </xf>
    <xf numFmtId="43" fontId="49" fillId="0" borderId="34" xfId="1" applyFont="1" applyBorder="1" applyAlignment="1">
      <alignment vertical="top"/>
    </xf>
    <xf numFmtId="0" fontId="49" fillId="0" borderId="4" xfId="0" applyFont="1" applyBorder="1" applyAlignment="1">
      <alignment vertical="top"/>
    </xf>
    <xf numFmtId="0" fontId="49" fillId="0" borderId="0" xfId="0" applyFont="1" applyAlignment="1">
      <alignment vertical="top"/>
    </xf>
    <xf numFmtId="0" fontId="49" fillId="0" borderId="104" xfId="0" applyFont="1" applyBorder="1" applyAlignment="1">
      <alignment vertical="top"/>
    </xf>
    <xf numFmtId="0" fontId="45" fillId="0" borderId="22" xfId="0" applyFont="1" applyBorder="1" applyAlignment="1">
      <alignment vertical="top"/>
    </xf>
    <xf numFmtId="0" fontId="45" fillId="0" borderId="101" xfId="0" applyFont="1" applyBorder="1" applyAlignment="1">
      <alignment horizontal="center" vertical="top"/>
    </xf>
    <xf numFmtId="171" fontId="49" fillId="0" borderId="101" xfId="1" applyNumberFormat="1" applyFont="1" applyBorder="1" applyAlignment="1">
      <alignment vertical="top"/>
    </xf>
    <xf numFmtId="43" fontId="49" fillId="0" borderId="5" xfId="1" applyFont="1" applyBorder="1" applyAlignment="1">
      <alignment vertical="top"/>
    </xf>
    <xf numFmtId="0" fontId="45" fillId="0" borderId="4" xfId="0" applyFont="1" applyBorder="1" applyAlignment="1">
      <alignment vertical="top"/>
    </xf>
    <xf numFmtId="171" fontId="49" fillId="0" borderId="5" xfId="1" applyNumberFormat="1" applyFont="1" applyBorder="1" applyAlignment="1">
      <alignment vertical="top"/>
    </xf>
    <xf numFmtId="171" fontId="45" fillId="0" borderId="0" xfId="0" applyNumberFormat="1" applyFont="1" applyAlignment="1">
      <alignment vertical="top"/>
    </xf>
    <xf numFmtId="0" fontId="45" fillId="0" borderId="104" xfId="0" applyFont="1" applyBorder="1" applyAlignment="1">
      <alignment horizontal="left" vertical="top" indent="2"/>
    </xf>
    <xf numFmtId="0" fontId="45" fillId="0" borderId="101" xfId="2" applyFont="1" applyFill="1" applyBorder="1" applyAlignment="1" applyProtection="1">
      <alignment horizontal="center" vertical="top"/>
    </xf>
    <xf numFmtId="43" fontId="45" fillId="0" borderId="5" xfId="1" applyFont="1" applyBorder="1" applyAlignment="1">
      <alignment vertical="top"/>
    </xf>
    <xf numFmtId="166" fontId="45" fillId="0" borderId="104" xfId="1" applyNumberFormat="1" applyFont="1" applyFill="1" applyBorder="1"/>
    <xf numFmtId="171" fontId="45" fillId="0" borderId="101" xfId="1" applyNumberFormat="1" applyFont="1" applyBorder="1" applyAlignment="1">
      <alignment vertical="top"/>
    </xf>
    <xf numFmtId="43" fontId="45" fillId="0" borderId="0" xfId="0" applyNumberFormat="1" applyFont="1" applyAlignment="1">
      <alignment vertical="top"/>
    </xf>
    <xf numFmtId="0" fontId="45" fillId="0" borderId="104" xfId="0" applyFont="1" applyBorder="1" applyAlignment="1">
      <alignment vertical="top"/>
    </xf>
    <xf numFmtId="0" fontId="49" fillId="0" borderId="22" xfId="0" applyFont="1" applyBorder="1" applyAlignment="1">
      <alignment horizontal="right" vertical="top"/>
    </xf>
    <xf numFmtId="0" fontId="49" fillId="0" borderId="35" xfId="0" applyFont="1" applyBorder="1" applyAlignment="1">
      <alignment horizontal="center" vertical="top"/>
    </xf>
    <xf numFmtId="0" fontId="45" fillId="0" borderId="0" xfId="0" applyFont="1" applyAlignment="1">
      <alignment horizontal="center" vertical="top"/>
    </xf>
    <xf numFmtId="171" fontId="45" fillId="0" borderId="5" xfId="1" applyNumberFormat="1" applyFont="1" applyBorder="1" applyAlignment="1">
      <alignment vertical="top"/>
    </xf>
    <xf numFmtId="0" fontId="45" fillId="0" borderId="44" xfId="0" applyFont="1" applyBorder="1" applyAlignment="1">
      <alignment horizontal="center" vertical="top"/>
    </xf>
    <xf numFmtId="43" fontId="49" fillId="0" borderId="12" xfId="1" applyFont="1" applyBorder="1" applyAlignment="1">
      <alignment vertical="top"/>
    </xf>
    <xf numFmtId="171" fontId="49" fillId="0" borderId="0" xfId="1" applyNumberFormat="1" applyFont="1" applyFill="1" applyBorder="1" applyAlignment="1" applyProtection="1">
      <alignment horizontal="center" vertical="top"/>
    </xf>
    <xf numFmtId="43" fontId="49" fillId="0" borderId="5" xfId="1" applyFont="1" applyFill="1" applyBorder="1" applyAlignment="1" applyProtection="1">
      <alignment vertical="top"/>
    </xf>
    <xf numFmtId="0" fontId="49" fillId="0" borderId="4" xfId="0" applyFont="1" applyBorder="1"/>
    <xf numFmtId="165" fontId="45" fillId="0" borderId="0" xfId="4" applyFont="1" applyFill="1" applyBorder="1" applyAlignment="1" applyProtection="1">
      <alignment vertical="top"/>
    </xf>
    <xf numFmtId="0" fontId="49" fillId="0" borderId="0" xfId="0" applyFont="1" applyAlignment="1">
      <alignment horizontal="left" vertical="top"/>
    </xf>
    <xf numFmtId="165" fontId="49" fillId="0" borderId="0" xfId="4" applyFont="1" applyFill="1" applyBorder="1" applyAlignment="1" applyProtection="1">
      <alignment horizontal="center" vertical="top"/>
    </xf>
    <xf numFmtId="165" fontId="49" fillId="0" borderId="0" xfId="4" applyFont="1" applyFill="1" applyBorder="1" applyAlignment="1" applyProtection="1">
      <alignment horizontal="left" vertical="top"/>
    </xf>
    <xf numFmtId="171" fontId="49" fillId="0" borderId="0" xfId="1" applyNumberFormat="1" applyFont="1" applyFill="1" applyBorder="1" applyAlignment="1" applyProtection="1">
      <alignment vertical="top"/>
    </xf>
    <xf numFmtId="166" fontId="49" fillId="0" borderId="0" xfId="3" applyNumberFormat="1" applyFont="1" applyFill="1" applyBorder="1" applyAlignment="1" applyProtection="1">
      <alignment horizontal="center" vertical="top"/>
    </xf>
    <xf numFmtId="165" fontId="45" fillId="0" borderId="4" xfId="4" applyFont="1" applyFill="1" applyBorder="1" applyAlignment="1" applyProtection="1">
      <alignment vertical="top"/>
    </xf>
    <xf numFmtId="165" fontId="49" fillId="0" borderId="4" xfId="4" applyFont="1" applyFill="1" applyBorder="1" applyAlignment="1" applyProtection="1">
      <alignment vertical="top"/>
    </xf>
    <xf numFmtId="171" fontId="49" fillId="0" borderId="0" xfId="1" applyNumberFormat="1" applyFont="1" applyBorder="1" applyAlignment="1">
      <alignment vertical="top"/>
    </xf>
    <xf numFmtId="165" fontId="49" fillId="0" borderId="4" xfId="4" applyFont="1" applyFill="1" applyBorder="1" applyAlignment="1" applyProtection="1">
      <alignment horizontal="left" vertical="top"/>
    </xf>
    <xf numFmtId="0" fontId="49" fillId="0" borderId="5" xfId="0" applyFont="1" applyBorder="1" applyAlignment="1">
      <alignment vertical="top"/>
    </xf>
    <xf numFmtId="0" fontId="49" fillId="0" borderId="0" xfId="0" applyFont="1" applyAlignment="1">
      <alignment horizontal="center" vertical="top"/>
    </xf>
    <xf numFmtId="0" fontId="45" fillId="0" borderId="0" xfId="0" applyFont="1" applyAlignment="1">
      <alignment horizontal="left" vertical="top"/>
    </xf>
    <xf numFmtId="0" fontId="45" fillId="0" borderId="10" xfId="0" applyFont="1" applyBorder="1" applyAlignment="1">
      <alignment vertical="top"/>
    </xf>
    <xf numFmtId="173" fontId="45" fillId="0" borderId="11" xfId="0" quotePrefix="1" applyNumberFormat="1" applyFont="1" applyBorder="1" applyAlignment="1">
      <alignment horizontal="left" vertical="top"/>
    </xf>
    <xf numFmtId="173" fontId="45" fillId="0" borderId="11" xfId="0" applyNumberFormat="1" applyFont="1" applyBorder="1" applyAlignment="1">
      <alignment horizontal="left" vertical="top"/>
    </xf>
    <xf numFmtId="0" fontId="45" fillId="0" borderId="11" xfId="0" applyFont="1" applyBorder="1" applyAlignment="1">
      <alignment horizontal="left" vertical="top"/>
    </xf>
    <xf numFmtId="171" fontId="49" fillId="0" borderId="11" xfId="1" applyNumberFormat="1" applyFont="1" applyFill="1" applyBorder="1" applyAlignment="1" applyProtection="1">
      <alignment vertical="top"/>
    </xf>
    <xf numFmtId="43" fontId="49" fillId="0" borderId="12" xfId="1" applyFont="1" applyFill="1" applyBorder="1" applyAlignment="1" applyProtection="1">
      <alignment vertical="top"/>
    </xf>
    <xf numFmtId="171" fontId="49" fillId="0" borderId="0" xfId="1" applyNumberFormat="1" applyFont="1" applyAlignment="1">
      <alignment vertical="top"/>
    </xf>
    <xf numFmtId="43" fontId="49" fillId="0" borderId="0" xfId="1" applyFont="1" applyAlignment="1">
      <alignment vertical="top"/>
    </xf>
    <xf numFmtId="43" fontId="49" fillId="0" borderId="54" xfId="1" applyFont="1" applyFill="1" applyBorder="1" applyAlignment="1">
      <alignment horizontal="center" vertical="top" wrapText="1"/>
    </xf>
    <xf numFmtId="43" fontId="49" fillId="0" borderId="9" xfId="1" applyFont="1" applyFill="1" applyBorder="1" applyAlignment="1">
      <alignment horizontal="center" vertical="center"/>
    </xf>
    <xf numFmtId="171" fontId="49" fillId="0" borderId="47" xfId="1" applyNumberFormat="1" applyFont="1" applyFill="1" applyBorder="1" applyAlignment="1">
      <alignment vertical="top"/>
    </xf>
    <xf numFmtId="0" fontId="45" fillId="0" borderId="11" xfId="0" applyFont="1" applyBorder="1" applyAlignment="1">
      <alignment horizontal="center" vertical="top"/>
    </xf>
    <xf numFmtId="0" fontId="45" fillId="0" borderId="35" xfId="0" applyFont="1" applyBorder="1" applyAlignment="1">
      <alignment horizontal="center" vertical="top"/>
    </xf>
    <xf numFmtId="0" fontId="45" fillId="0" borderId="41" xfId="0" applyFont="1" applyBorder="1" applyAlignment="1">
      <alignment horizontal="center" vertical="top"/>
    </xf>
    <xf numFmtId="0" fontId="45" fillId="0" borderId="4" xfId="0" applyFont="1" applyBorder="1" applyAlignment="1">
      <alignment horizontal="center" vertical="top"/>
    </xf>
    <xf numFmtId="165" fontId="45" fillId="0" borderId="4" xfId="4" applyFont="1" applyFill="1" applyBorder="1" applyAlignment="1" applyProtection="1">
      <alignment horizontal="center" vertical="top"/>
    </xf>
    <xf numFmtId="43" fontId="49" fillId="0" borderId="0" xfId="1" applyFont="1" applyBorder="1" applyAlignment="1">
      <alignment vertical="top"/>
    </xf>
    <xf numFmtId="43" fontId="49" fillId="0" borderId="46" xfId="1" applyFont="1" applyFill="1" applyBorder="1" applyAlignment="1">
      <alignment horizontal="center" vertical="center"/>
    </xf>
    <xf numFmtId="171" fontId="45" fillId="0" borderId="21" xfId="1" applyNumberFormat="1" applyFont="1" applyBorder="1" applyAlignment="1">
      <alignment vertical="top"/>
    </xf>
    <xf numFmtId="0" fontId="49" fillId="0" borderId="35" xfId="0" applyFont="1" applyBorder="1" applyAlignment="1">
      <alignment horizontal="left" vertical="top"/>
    </xf>
    <xf numFmtId="0" fontId="45" fillId="0" borderId="21" xfId="2" applyFont="1" applyFill="1" applyBorder="1" applyAlignment="1" applyProtection="1">
      <alignment horizontal="center" vertical="top"/>
    </xf>
    <xf numFmtId="171" fontId="49" fillId="0" borderId="47" xfId="1" applyNumberFormat="1" applyFont="1" applyBorder="1" applyAlignment="1">
      <alignment vertical="top"/>
    </xf>
    <xf numFmtId="171" fontId="49" fillId="0" borderId="38" xfId="1" applyNumberFormat="1" applyFont="1" applyBorder="1" applyAlignment="1">
      <alignment vertical="top"/>
    </xf>
    <xf numFmtId="175" fontId="45" fillId="0" borderId="0" xfId="0" applyNumberFormat="1" applyFont="1" applyAlignment="1">
      <alignment vertical="top"/>
    </xf>
    <xf numFmtId="37" fontId="45" fillId="0" borderId="0" xfId="0" applyNumberFormat="1" applyFont="1" applyAlignment="1">
      <alignment vertical="top"/>
    </xf>
    <xf numFmtId="9" fontId="45" fillId="0" borderId="0" xfId="20" applyFont="1" applyAlignment="1">
      <alignment vertical="top"/>
    </xf>
    <xf numFmtId="171" fontId="49" fillId="0" borderId="34" xfId="1" applyNumberFormat="1" applyFont="1" applyBorder="1" applyAlignment="1">
      <alignment vertical="top"/>
    </xf>
    <xf numFmtId="174" fontId="45" fillId="0" borderId="0" xfId="0" applyNumberFormat="1" applyFont="1" applyAlignment="1">
      <alignment vertical="top"/>
    </xf>
    <xf numFmtId="171" fontId="49" fillId="0" borderId="9" xfId="1" applyNumberFormat="1" applyFont="1" applyBorder="1" applyAlignment="1">
      <alignment vertical="top"/>
    </xf>
    <xf numFmtId="171" fontId="49" fillId="0" borderId="31" xfId="1" applyNumberFormat="1" applyFont="1" applyBorder="1" applyAlignment="1">
      <alignment vertical="top"/>
    </xf>
    <xf numFmtId="171" fontId="49" fillId="0" borderId="12" xfId="1" applyNumberFormat="1" applyFont="1" applyFill="1" applyBorder="1" applyAlignment="1">
      <alignment vertical="top"/>
    </xf>
    <xf numFmtId="0" fontId="49" fillId="0" borderId="42" xfId="0" applyFont="1" applyBorder="1" applyAlignment="1">
      <alignment vertical="top" wrapText="1"/>
    </xf>
    <xf numFmtId="0" fontId="45" fillId="0" borderId="44" xfId="2" applyFont="1" applyFill="1" applyBorder="1" applyAlignment="1" applyProtection="1">
      <alignment horizontal="center" vertical="top"/>
    </xf>
    <xf numFmtId="43" fontId="45" fillId="0" borderId="44" xfId="1" applyFont="1" applyFill="1" applyBorder="1" applyAlignment="1">
      <alignment vertical="top"/>
    </xf>
    <xf numFmtId="43" fontId="45" fillId="0" borderId="48" xfId="1" applyFont="1" applyFill="1" applyBorder="1" applyAlignment="1">
      <alignment vertical="top"/>
    </xf>
    <xf numFmtId="0" fontId="49" fillId="0" borderId="21" xfId="0" applyFont="1" applyBorder="1" applyAlignment="1">
      <alignment vertical="top" wrapText="1"/>
    </xf>
    <xf numFmtId="43" fontId="45" fillId="0" borderId="40" xfId="1" applyFont="1" applyBorder="1" applyAlignment="1">
      <alignment vertical="top"/>
    </xf>
    <xf numFmtId="0" fontId="45" fillId="0" borderId="21" xfId="0" applyFont="1" applyBorder="1" applyAlignment="1">
      <alignment horizontal="left" vertical="top" indent="2"/>
    </xf>
    <xf numFmtId="0" fontId="45" fillId="0" borderId="21" xfId="0" quotePrefix="1" applyFont="1" applyBorder="1" applyAlignment="1">
      <alignment horizontal="left" vertical="top" indent="4"/>
    </xf>
    <xf numFmtId="171" fontId="45" fillId="0" borderId="40" xfId="1" applyNumberFormat="1" applyFont="1" applyBorder="1" applyAlignment="1">
      <alignment vertical="top"/>
    </xf>
    <xf numFmtId="0" fontId="49" fillId="0" borderId="44" xfId="0" applyFont="1" applyBorder="1" applyAlignment="1">
      <alignment vertical="top" wrapText="1"/>
    </xf>
    <xf numFmtId="171" fontId="49" fillId="0" borderId="44" xfId="1" applyNumberFormat="1" applyFont="1" applyBorder="1" applyAlignment="1">
      <alignment vertical="top" wrapText="1"/>
    </xf>
    <xf numFmtId="43" fontId="45" fillId="0" borderId="48" xfId="1" applyFont="1" applyBorder="1" applyAlignment="1">
      <alignment vertical="top"/>
    </xf>
    <xf numFmtId="0" fontId="49" fillId="0" borderId="1" xfId="0" applyFont="1" applyBorder="1" applyAlignment="1">
      <alignment vertical="top"/>
    </xf>
    <xf numFmtId="43" fontId="45" fillId="0" borderId="3" xfId="1" applyFont="1" applyFill="1" applyBorder="1" applyAlignment="1" applyProtection="1">
      <alignment horizontal="center" vertical="top"/>
    </xf>
    <xf numFmtId="43" fontId="49" fillId="0" borderId="5" xfId="1" applyFont="1" applyFill="1" applyBorder="1" applyAlignment="1" applyProtection="1">
      <alignment horizontal="center" vertical="top"/>
    </xf>
    <xf numFmtId="43" fontId="45" fillId="0" borderId="5" xfId="1" applyFont="1" applyFill="1" applyBorder="1" applyAlignment="1" applyProtection="1">
      <alignment horizontal="center" vertical="top"/>
    </xf>
    <xf numFmtId="165" fontId="49" fillId="0" borderId="0" xfId="4" applyFont="1" applyFill="1" applyBorder="1" applyAlignment="1" applyProtection="1">
      <alignment vertical="top" wrapText="1"/>
    </xf>
    <xf numFmtId="43" fontId="45" fillId="0" borderId="5" xfId="1" applyFont="1" applyFill="1" applyBorder="1" applyAlignment="1" applyProtection="1">
      <alignment horizontal="left" vertical="top"/>
    </xf>
    <xf numFmtId="173" fontId="45" fillId="0" borderId="11" xfId="0" applyNumberFormat="1" applyFont="1" applyBorder="1" applyAlignment="1">
      <alignment vertical="top"/>
    </xf>
    <xf numFmtId="43" fontId="45" fillId="0" borderId="12" xfId="1" applyFont="1" applyFill="1" applyBorder="1" applyAlignment="1" applyProtection="1">
      <alignment horizontal="left" vertical="top"/>
    </xf>
    <xf numFmtId="171" fontId="45" fillId="0" borderId="0" xfId="1" applyNumberFormat="1" applyFont="1" applyAlignment="1">
      <alignment vertical="top"/>
    </xf>
    <xf numFmtId="43" fontId="45" fillId="0" borderId="0" xfId="1" applyFont="1" applyAlignment="1">
      <alignment vertical="top"/>
    </xf>
    <xf numFmtId="0" fontId="45" fillId="0" borderId="4" xfId="0" applyFont="1" applyBorder="1" applyAlignment="1">
      <alignment horizontal="left" vertical="top"/>
    </xf>
    <xf numFmtId="0" fontId="45" fillId="0" borderId="10" xfId="0" applyFont="1" applyBorder="1" applyAlignment="1">
      <alignment horizontal="left" vertical="top"/>
    </xf>
    <xf numFmtId="0" fontId="49" fillId="0" borderId="4" xfId="0" applyFont="1" applyBorder="1" applyAlignment="1">
      <alignment horizontal="left" vertical="top"/>
    </xf>
    <xf numFmtId="0" fontId="49" fillId="0" borderId="4" xfId="0" applyFont="1" applyBorder="1" applyAlignment="1">
      <alignment horizontal="left"/>
    </xf>
    <xf numFmtId="0" fontId="49" fillId="0" borderId="104" xfId="0" applyFont="1" applyBorder="1" applyAlignment="1">
      <alignment horizontal="left" vertical="top"/>
    </xf>
    <xf numFmtId="0" fontId="45" fillId="0" borderId="0" xfId="0" applyFont="1" applyAlignment="1">
      <alignment horizontal="left" vertical="top" indent="2"/>
    </xf>
    <xf numFmtId="0" fontId="49" fillId="0" borderId="104" xfId="0" applyFont="1" applyBorder="1" applyAlignment="1">
      <alignment vertical="top" wrapText="1"/>
    </xf>
    <xf numFmtId="166" fontId="49" fillId="0" borderId="107" xfId="1" applyNumberFormat="1" applyFont="1" applyFill="1" applyBorder="1" applyAlignment="1">
      <alignment vertical="top"/>
    </xf>
    <xf numFmtId="171" fontId="49" fillId="0" borderId="26" xfId="1" applyNumberFormat="1" applyFont="1" applyBorder="1" applyAlignment="1">
      <alignment vertical="top"/>
    </xf>
    <xf numFmtId="166" fontId="49" fillId="0" borderId="101" xfId="1" applyNumberFormat="1" applyFont="1" applyFill="1" applyBorder="1"/>
    <xf numFmtId="166" fontId="49" fillId="0" borderId="95" xfId="1" applyNumberFormat="1" applyFont="1" applyFill="1" applyBorder="1" applyAlignment="1">
      <alignment vertical="top"/>
    </xf>
    <xf numFmtId="171" fontId="49" fillId="0" borderId="97" xfId="1" applyNumberFormat="1" applyFont="1" applyBorder="1" applyAlignment="1">
      <alignment vertical="top"/>
    </xf>
    <xf numFmtId="0" fontId="45" fillId="0" borderId="104" xfId="2" applyFont="1" applyFill="1" applyBorder="1" applyAlignment="1" applyProtection="1">
      <alignment horizontal="center" vertical="top"/>
    </xf>
    <xf numFmtId="166" fontId="49" fillId="0" borderId="44" xfId="1" applyNumberFormat="1" applyFont="1" applyFill="1" applyBorder="1" applyAlignment="1">
      <alignment vertical="top"/>
    </xf>
    <xf numFmtId="166" fontId="45" fillId="0" borderId="101" xfId="1" applyNumberFormat="1" applyFont="1" applyFill="1" applyBorder="1" applyAlignment="1">
      <alignment vertical="top"/>
    </xf>
    <xf numFmtId="0" fontId="70" fillId="0" borderId="0" xfId="0" applyFont="1" applyAlignment="1">
      <alignment vertical="top"/>
    </xf>
    <xf numFmtId="0" fontId="71" fillId="0" borderId="11" xfId="0" applyFont="1" applyBorder="1" applyAlignment="1">
      <alignment horizontal="center" vertical="top"/>
    </xf>
    <xf numFmtId="0" fontId="71" fillId="0" borderId="11" xfId="0" applyFont="1" applyBorder="1" applyAlignment="1">
      <alignment vertical="top"/>
    </xf>
    <xf numFmtId="0" fontId="71" fillId="0" borderId="12" xfId="0" applyFont="1" applyBorder="1" applyAlignment="1">
      <alignment vertical="top"/>
    </xf>
    <xf numFmtId="0" fontId="71" fillId="0" borderId="0" xfId="0" applyFont="1" applyAlignment="1">
      <alignment vertical="top"/>
    </xf>
    <xf numFmtId="0" fontId="71" fillId="0" borderId="4" xfId="0" applyFont="1" applyBorder="1" applyAlignment="1">
      <alignment horizontal="center" vertical="top" wrapText="1"/>
    </xf>
    <xf numFmtId="0" fontId="71" fillId="0" borderId="0" xfId="0" applyFont="1" applyAlignment="1">
      <alignment horizontal="center" vertical="top" wrapText="1"/>
    </xf>
    <xf numFmtId="0" fontId="71" fillId="0" borderId="0" xfId="0" applyFont="1" applyAlignment="1">
      <alignment vertical="top" wrapText="1"/>
    </xf>
    <xf numFmtId="0" fontId="71" fillId="0" borderId="5" xfId="0" applyFont="1" applyBorder="1" applyAlignment="1">
      <alignment vertical="top" wrapText="1"/>
    </xf>
    <xf numFmtId="0" fontId="70" fillId="0" borderId="4" xfId="0" applyFont="1" applyBorder="1" applyAlignment="1">
      <alignment horizontal="left" vertical="top"/>
    </xf>
    <xf numFmtId="0" fontId="70" fillId="0" borderId="0" xfId="0" applyFont="1" applyAlignment="1">
      <alignment horizontal="left" vertical="top" wrapText="1"/>
    </xf>
    <xf numFmtId="0" fontId="70" fillId="0" borderId="5" xfId="0" applyFont="1" applyBorder="1" applyAlignment="1">
      <alignment vertical="top"/>
    </xf>
    <xf numFmtId="0" fontId="71" fillId="0" borderId="10" xfId="0" applyFont="1" applyBorder="1" applyAlignment="1">
      <alignment horizontal="center" vertical="top"/>
    </xf>
    <xf numFmtId="43" fontId="49" fillId="0" borderId="13" xfId="1" applyFont="1" applyFill="1" applyBorder="1" applyAlignment="1">
      <alignment horizontal="center" vertical="top" wrapText="1"/>
    </xf>
    <xf numFmtId="43" fontId="49" fillId="0" borderId="13" xfId="1" applyFont="1" applyFill="1" applyBorder="1" applyAlignment="1">
      <alignment horizontal="center" vertical="center"/>
    </xf>
    <xf numFmtId="0" fontId="45" fillId="4" borderId="56" xfId="0" applyFont="1" applyFill="1" applyBorder="1" applyAlignment="1">
      <alignment vertical="top"/>
    </xf>
    <xf numFmtId="43" fontId="45" fillId="4" borderId="21" xfId="1" applyFont="1" applyFill="1" applyBorder="1" applyAlignment="1">
      <alignment vertical="top"/>
    </xf>
    <xf numFmtId="43" fontId="45" fillId="4" borderId="22" xfId="1" applyFont="1" applyFill="1" applyBorder="1" applyAlignment="1">
      <alignment vertical="top"/>
    </xf>
    <xf numFmtId="0" fontId="71" fillId="0" borderId="21" xfId="0" applyFont="1" applyBorder="1" applyAlignment="1">
      <alignment vertical="top"/>
    </xf>
    <xf numFmtId="0" fontId="71" fillId="0" borderId="5" xfId="0" applyFont="1" applyBorder="1" applyAlignment="1">
      <alignment vertical="top"/>
    </xf>
    <xf numFmtId="0" fontId="45" fillId="4" borderId="4" xfId="0" applyFont="1" applyFill="1" applyBorder="1" applyAlignment="1">
      <alignment vertical="top"/>
    </xf>
    <xf numFmtId="171" fontId="45" fillId="5" borderId="21" xfId="1" applyNumberFormat="1" applyFont="1" applyFill="1" applyBorder="1" applyAlignment="1">
      <alignment vertical="top"/>
    </xf>
    <xf numFmtId="171" fontId="45" fillId="4" borderId="22" xfId="1" applyNumberFormat="1" applyFont="1" applyFill="1" applyBorder="1" applyAlignment="1">
      <alignment vertical="top"/>
    </xf>
    <xf numFmtId="171" fontId="71" fillId="0" borderId="21" xfId="1" applyNumberFormat="1" applyFont="1" applyBorder="1" applyAlignment="1">
      <alignment vertical="top"/>
    </xf>
    <xf numFmtId="171" fontId="71" fillId="0" borderId="5" xfId="1" applyNumberFormat="1" applyFont="1" applyBorder="1" applyAlignment="1">
      <alignment vertical="top"/>
    </xf>
    <xf numFmtId="0" fontId="45" fillId="4" borderId="4" xfId="0" applyFont="1" applyFill="1" applyBorder="1" applyAlignment="1">
      <alignment horizontal="left" vertical="top"/>
    </xf>
    <xf numFmtId="171" fontId="45" fillId="4" borderId="21" xfId="1" applyNumberFormat="1" applyFont="1" applyFill="1" applyBorder="1" applyAlignment="1">
      <alignment vertical="top"/>
    </xf>
    <xf numFmtId="0" fontId="72" fillId="4" borderId="4" xfId="0" applyFont="1" applyFill="1" applyBorder="1" applyAlignment="1">
      <alignment horizontal="left" vertical="top"/>
    </xf>
    <xf numFmtId="0" fontId="45" fillId="4" borderId="4" xfId="0" applyFont="1" applyFill="1" applyBorder="1" applyAlignment="1">
      <alignment vertical="top" wrapText="1"/>
    </xf>
    <xf numFmtId="43" fontId="45" fillId="4" borderId="14" xfId="1" applyFont="1" applyFill="1" applyBorder="1" applyAlignment="1">
      <alignment vertical="top"/>
    </xf>
    <xf numFmtId="0" fontId="71" fillId="0" borderId="14" xfId="0" applyFont="1" applyBorder="1" applyAlignment="1">
      <alignment vertical="top"/>
    </xf>
    <xf numFmtId="0" fontId="71" fillId="0" borderId="59" xfId="0" applyFont="1" applyBorder="1" applyAlignment="1">
      <alignment vertical="top"/>
    </xf>
    <xf numFmtId="0" fontId="49" fillId="4" borderId="10" xfId="0" applyFont="1" applyFill="1" applyBorder="1" applyAlignment="1">
      <alignment vertical="top"/>
    </xf>
    <xf numFmtId="171" fontId="49" fillId="4" borderId="42" xfId="1" applyNumberFormat="1" applyFont="1" applyFill="1" applyBorder="1" applyAlignment="1">
      <alignment vertical="top"/>
    </xf>
    <xf numFmtId="171" fontId="49" fillId="4" borderId="48" xfId="1" applyNumberFormat="1" applyFont="1" applyFill="1" applyBorder="1" applyAlignment="1">
      <alignment vertical="top"/>
    </xf>
    <xf numFmtId="0" fontId="71" fillId="0" borderId="0" xfId="0" applyFont="1" applyAlignment="1">
      <alignment horizontal="center" vertical="top"/>
    </xf>
    <xf numFmtId="0" fontId="70" fillId="0" borderId="16" xfId="0" applyFont="1" applyBorder="1" applyAlignment="1">
      <alignment horizontal="center" vertical="top" wrapText="1"/>
    </xf>
    <xf numFmtId="0" fontId="70" fillId="0" borderId="13" xfId="0" applyFont="1" applyBorder="1" applyAlignment="1">
      <alignment horizontal="center" vertical="top" wrapText="1"/>
    </xf>
    <xf numFmtId="0" fontId="70" fillId="0" borderId="0" xfId="0" applyFont="1" applyAlignment="1">
      <alignment horizontal="center" vertical="top" wrapText="1"/>
    </xf>
    <xf numFmtId="0" fontId="71" fillId="0" borderId="16" xfId="0" applyFont="1" applyBorder="1" applyAlignment="1">
      <alignment vertical="top" wrapText="1"/>
    </xf>
    <xf numFmtId="43" fontId="49" fillId="0" borderId="16" xfId="1" applyFont="1" applyFill="1" applyBorder="1" applyAlignment="1">
      <alignment horizontal="center" vertical="top"/>
    </xf>
    <xf numFmtId="0" fontId="71" fillId="0" borderId="16" xfId="0" applyFont="1" applyBorder="1" applyAlignment="1">
      <alignment vertical="top"/>
    </xf>
    <xf numFmtId="43" fontId="49" fillId="0" borderId="0" xfId="1" applyFont="1" applyFill="1" applyBorder="1" applyAlignment="1">
      <alignment horizontal="center" vertical="top"/>
    </xf>
    <xf numFmtId="0" fontId="71" fillId="0" borderId="21" xfId="0" applyFont="1" applyBorder="1" applyAlignment="1">
      <alignment vertical="top" wrapText="1"/>
    </xf>
    <xf numFmtId="43" fontId="49" fillId="0" borderId="21" xfId="1" applyFont="1" applyFill="1" applyBorder="1" applyAlignment="1">
      <alignment horizontal="center" vertical="top"/>
    </xf>
    <xf numFmtId="0" fontId="71" fillId="0" borderId="21" xfId="0" quotePrefix="1" applyFont="1" applyBorder="1" applyAlignment="1">
      <alignment horizontal="left" vertical="top" wrapText="1" indent="1"/>
    </xf>
    <xf numFmtId="171" fontId="71" fillId="0" borderId="21" xfId="1" applyNumberFormat="1" applyFont="1" applyFill="1" applyBorder="1" applyAlignment="1">
      <alignment vertical="top" wrapText="1"/>
    </xf>
    <xf numFmtId="171" fontId="49" fillId="0" borderId="21" xfId="1" applyNumberFormat="1" applyFont="1" applyFill="1" applyBorder="1" applyAlignment="1">
      <alignment vertical="top"/>
    </xf>
    <xf numFmtId="171" fontId="70" fillId="0" borderId="21" xfId="1" applyNumberFormat="1" applyFont="1" applyFill="1" applyBorder="1" applyAlignment="1">
      <alignment vertical="top"/>
    </xf>
    <xf numFmtId="171" fontId="49" fillId="0" borderId="0" xfId="1" applyNumberFormat="1" applyFont="1" applyFill="1" applyBorder="1" applyAlignment="1">
      <alignment horizontal="center" vertical="top"/>
    </xf>
    <xf numFmtId="171" fontId="71" fillId="0" borderId="0" xfId="1" applyNumberFormat="1" applyFont="1" applyFill="1" applyBorder="1" applyAlignment="1">
      <alignment vertical="top"/>
    </xf>
    <xf numFmtId="171" fontId="70" fillId="0" borderId="21" xfId="1" applyNumberFormat="1" applyFont="1" applyFill="1" applyBorder="1" applyAlignment="1">
      <alignment vertical="top" wrapText="1"/>
    </xf>
    <xf numFmtId="171" fontId="70" fillId="0" borderId="21" xfId="1" applyNumberFormat="1" applyFont="1" applyBorder="1" applyAlignment="1">
      <alignment vertical="top"/>
    </xf>
    <xf numFmtId="171" fontId="71" fillId="0" borderId="0" xfId="1" applyNumberFormat="1" applyFont="1" applyBorder="1" applyAlignment="1">
      <alignment horizontal="center" vertical="top"/>
    </xf>
    <xf numFmtId="0" fontId="71" fillId="0" borderId="18" xfId="0" quotePrefix="1" applyFont="1" applyBorder="1" applyAlignment="1">
      <alignment horizontal="left" vertical="top" wrapText="1" indent="1"/>
    </xf>
    <xf numFmtId="171" fontId="71" fillId="0" borderId="18" xfId="1" applyNumberFormat="1" applyFont="1" applyBorder="1" applyAlignment="1">
      <alignment vertical="top"/>
    </xf>
    <xf numFmtId="171" fontId="70" fillId="0" borderId="18" xfId="1" applyNumberFormat="1" applyFont="1" applyBorder="1" applyAlignment="1">
      <alignment vertical="top"/>
    </xf>
    <xf numFmtId="171" fontId="70" fillId="0" borderId="18" xfId="1" applyNumberFormat="1" applyFont="1" applyFill="1" applyBorder="1" applyAlignment="1">
      <alignment vertical="top"/>
    </xf>
    <xf numFmtId="0" fontId="71" fillId="0" borderId="7" xfId="0" applyFont="1" applyBorder="1" applyAlignment="1">
      <alignment vertical="top" wrapText="1"/>
    </xf>
    <xf numFmtId="0" fontId="71" fillId="0" borderId="13" xfId="0" applyFont="1" applyBorder="1" applyAlignment="1">
      <alignment vertical="top"/>
    </xf>
    <xf numFmtId="0" fontId="71" fillId="0" borderId="7" xfId="0" applyFont="1" applyBorder="1" applyAlignment="1">
      <alignment horizontal="left" vertical="top" wrapText="1" indent="1"/>
    </xf>
    <xf numFmtId="9" fontId="71" fillId="0" borderId="13" xfId="0" applyNumberFormat="1" applyFont="1" applyBorder="1" applyAlignment="1">
      <alignment vertical="top"/>
    </xf>
    <xf numFmtId="37" fontId="49" fillId="0" borderId="47" xfId="1" applyNumberFormat="1" applyFont="1" applyFill="1" applyBorder="1" applyAlignment="1">
      <alignment horizontal="center" vertical="center"/>
    </xf>
    <xf numFmtId="37" fontId="49" fillId="0" borderId="55" xfId="1" applyNumberFormat="1" applyFont="1" applyFill="1" applyBorder="1" applyAlignment="1">
      <alignment horizontal="center" vertical="center"/>
    </xf>
    <xf numFmtId="171" fontId="49" fillId="4" borderId="0" xfId="1" applyNumberFormat="1" applyFont="1" applyFill="1" applyBorder="1" applyAlignment="1">
      <alignment vertical="top"/>
    </xf>
    <xf numFmtId="37" fontId="49" fillId="0" borderId="55" xfId="1" applyNumberFormat="1" applyFont="1" applyBorder="1" applyAlignment="1">
      <alignment vertical="top"/>
    </xf>
    <xf numFmtId="171" fontId="49" fillId="0" borderId="55" xfId="1" applyNumberFormat="1" applyFont="1" applyFill="1" applyBorder="1" applyAlignment="1">
      <alignment vertical="top"/>
    </xf>
    <xf numFmtId="37" fontId="45" fillId="0" borderId="0" xfId="1" applyNumberFormat="1" applyFont="1" applyFill="1" applyBorder="1" applyAlignment="1">
      <alignment vertical="top"/>
    </xf>
    <xf numFmtId="37" fontId="49" fillId="0" borderId="0" xfId="1" applyNumberFormat="1" applyFont="1" applyFill="1" applyBorder="1" applyAlignment="1">
      <alignment horizontal="center" vertical="center"/>
    </xf>
    <xf numFmtId="171" fontId="45" fillId="0" borderId="101" xfId="1" applyNumberFormat="1" applyFont="1" applyFill="1" applyBorder="1" applyAlignment="1">
      <alignment vertical="top"/>
    </xf>
    <xf numFmtId="171" fontId="45" fillId="0" borderId="0" xfId="1" applyNumberFormat="1" applyFont="1" applyFill="1" applyAlignment="1">
      <alignment vertical="top"/>
    </xf>
    <xf numFmtId="0" fontId="45" fillId="6" borderId="35" xfId="6" applyNumberFormat="1" applyFont="1" applyFill="1" applyBorder="1" applyAlignment="1">
      <alignment vertical="top"/>
    </xf>
    <xf numFmtId="37" fontId="45" fillId="0" borderId="26" xfId="1" applyNumberFormat="1" applyFont="1" applyFill="1" applyBorder="1" applyAlignment="1">
      <alignment vertical="top"/>
    </xf>
    <xf numFmtId="0" fontId="45" fillId="6" borderId="4" xfId="6" applyNumberFormat="1" applyFont="1" applyFill="1" applyBorder="1" applyAlignment="1">
      <alignment vertical="top"/>
    </xf>
    <xf numFmtId="0" fontId="45" fillId="0" borderId="4" xfId="6" applyNumberFormat="1" applyFont="1" applyBorder="1" applyAlignment="1">
      <alignment vertical="top"/>
    </xf>
    <xf numFmtId="37" fontId="45" fillId="0" borderId="101" xfId="1" applyNumberFormat="1" applyFont="1" applyFill="1" applyBorder="1" applyAlignment="1">
      <alignment vertical="top"/>
    </xf>
    <xf numFmtId="166" fontId="45" fillId="0" borderId="97" xfId="1" applyNumberFormat="1" applyFont="1" applyFill="1" applyBorder="1"/>
    <xf numFmtId="37" fontId="45" fillId="0" borderId="101" xfId="1" applyNumberFormat="1" applyFont="1" applyBorder="1" applyAlignment="1">
      <alignment vertical="top"/>
    </xf>
    <xf numFmtId="37" fontId="49" fillId="0" borderId="64" xfId="1" applyNumberFormat="1" applyFont="1" applyFill="1" applyBorder="1"/>
    <xf numFmtId="37" fontId="49" fillId="0" borderId="65" xfId="1" applyNumberFormat="1" applyFont="1" applyFill="1" applyBorder="1"/>
    <xf numFmtId="0" fontId="45" fillId="0" borderId="0" xfId="18" applyFont="1"/>
    <xf numFmtId="37" fontId="49" fillId="0" borderId="0" xfId="0" applyNumberFormat="1" applyFont="1" applyAlignment="1">
      <alignment horizontal="left" vertical="top"/>
    </xf>
    <xf numFmtId="37" fontId="45" fillId="0" borderId="0" xfId="1" applyNumberFormat="1" applyFont="1" applyBorder="1" applyAlignment="1">
      <alignment horizontal="left" vertical="top"/>
    </xf>
    <xf numFmtId="37" fontId="45" fillId="0" borderId="0" xfId="19" applyNumberFormat="1" applyFont="1" applyFill="1" applyBorder="1"/>
    <xf numFmtId="37" fontId="45" fillId="0" borderId="0" xfId="14" applyNumberFormat="1" applyFont="1" applyFill="1" applyBorder="1"/>
    <xf numFmtId="0" fontId="49" fillId="0" borderId="76" xfId="18" applyFont="1" applyBorder="1" applyAlignment="1">
      <alignment horizontal="left"/>
    </xf>
    <xf numFmtId="0" fontId="49" fillId="0" borderId="56" xfId="0" applyFont="1" applyBorder="1" applyAlignment="1">
      <alignment horizontal="center" vertical="center"/>
    </xf>
    <xf numFmtId="0" fontId="49" fillId="0" borderId="105" xfId="0" applyFont="1" applyBorder="1" applyAlignment="1">
      <alignment horizontal="center" vertical="center"/>
    </xf>
    <xf numFmtId="37" fontId="49" fillId="0" borderId="1" xfId="19" applyNumberFormat="1" applyFont="1" applyBorder="1" applyAlignment="1">
      <alignment horizontal="center" vertical="center"/>
    </xf>
    <xf numFmtId="37" fontId="49" fillId="0" borderId="79" xfId="19" applyNumberFormat="1" applyFont="1" applyBorder="1" applyAlignment="1">
      <alignment horizontal="center" vertical="center"/>
    </xf>
    <xf numFmtId="37" fontId="49" fillId="0" borderId="34" xfId="19" applyNumberFormat="1" applyFont="1" applyBorder="1" applyAlignment="1">
      <alignment horizontal="center" vertical="center" wrapText="1"/>
    </xf>
    <xf numFmtId="37" fontId="49" fillId="0" borderId="59" xfId="19" applyNumberFormat="1" applyFont="1" applyBorder="1" applyAlignment="1">
      <alignment horizontal="center" vertical="center" wrapText="1"/>
    </xf>
    <xf numFmtId="0" fontId="45" fillId="0" borderId="30" xfId="0" applyFont="1" applyBorder="1" applyAlignment="1">
      <alignment horizontal="center" vertical="justify"/>
    </xf>
    <xf numFmtId="0" fontId="45" fillId="0" borderId="106" xfId="0" applyFont="1" applyBorder="1" applyAlignment="1">
      <alignment horizontal="center" vertical="justify"/>
    </xf>
    <xf numFmtId="37" fontId="49" fillId="0" borderId="30" xfId="19" applyNumberFormat="1" applyFont="1" applyBorder="1" applyAlignment="1">
      <alignment horizontal="center" vertical="justify"/>
    </xf>
    <xf numFmtId="37" fontId="49" fillId="0" borderId="46" xfId="19" applyNumberFormat="1" applyFont="1" applyBorder="1" applyAlignment="1">
      <alignment horizontal="center" vertical="justify"/>
    </xf>
    <xf numFmtId="37" fontId="49" fillId="0" borderId="4" xfId="19" applyNumberFormat="1" applyFont="1" applyBorder="1" applyAlignment="1">
      <alignment horizontal="center" vertical="center" wrapText="1"/>
    </xf>
    <xf numFmtId="37" fontId="49" fillId="0" borderId="107" xfId="19" applyNumberFormat="1" applyFont="1" applyBorder="1" applyAlignment="1">
      <alignment horizontal="center" vertical="center" wrapText="1"/>
    </xf>
    <xf numFmtId="37" fontId="49" fillId="0" borderId="104" xfId="19" applyNumberFormat="1" applyFont="1" applyBorder="1" applyAlignment="1">
      <alignment horizontal="center" vertical="center" wrapText="1"/>
    </xf>
    <xf numFmtId="37" fontId="49" fillId="0" borderId="40" xfId="19" applyNumberFormat="1" applyFont="1" applyBorder="1" applyAlignment="1">
      <alignment horizontal="center" vertical="center" wrapText="1"/>
    </xf>
    <xf numFmtId="37" fontId="49" fillId="0" borderId="5" xfId="19" applyNumberFormat="1" applyFont="1" applyBorder="1" applyAlignment="1">
      <alignment horizontal="center" vertical="center" wrapText="1"/>
    </xf>
    <xf numFmtId="37" fontId="49" fillId="0" borderId="6" xfId="19" applyNumberFormat="1" applyFont="1" applyBorder="1" applyAlignment="1">
      <alignment horizontal="center"/>
    </xf>
    <xf numFmtId="0" fontId="45" fillId="0" borderId="35" xfId="0" applyFont="1" applyBorder="1"/>
    <xf numFmtId="0" fontId="45" fillId="0" borderId="104" xfId="0" applyFont="1" applyBorder="1"/>
    <xf numFmtId="37" fontId="49" fillId="0" borderId="35" xfId="1" applyNumberFormat="1" applyFont="1" applyBorder="1"/>
    <xf numFmtId="37" fontId="45" fillId="0" borderId="4" xfId="1" applyNumberFormat="1" applyFont="1" applyFill="1" applyBorder="1"/>
    <xf numFmtId="37" fontId="45" fillId="0" borderId="104" xfId="1" applyNumberFormat="1" applyFont="1" applyFill="1" applyBorder="1"/>
    <xf numFmtId="37" fontId="45" fillId="0" borderId="40" xfId="1" applyNumberFormat="1" applyFont="1" applyFill="1" applyBorder="1"/>
    <xf numFmtId="37" fontId="45" fillId="0" borderId="5" xfId="1" applyNumberFormat="1" applyFont="1" applyFill="1" applyBorder="1"/>
    <xf numFmtId="171" fontId="45" fillId="0" borderId="0" xfId="18" applyNumberFormat="1" applyFont="1"/>
    <xf numFmtId="164" fontId="45" fillId="0" borderId="0" xfId="19" applyFont="1" applyFill="1" applyBorder="1"/>
    <xf numFmtId="9" fontId="45" fillId="0" borderId="0" xfId="18" applyNumberFormat="1" applyFont="1" applyAlignment="1">
      <alignment horizontal="center"/>
    </xf>
    <xf numFmtId="164" fontId="45" fillId="0" borderId="0" xfId="18" applyNumberFormat="1" applyFont="1"/>
    <xf numFmtId="37" fontId="45" fillId="0" borderId="0" xfId="18" applyNumberFormat="1" applyFont="1"/>
    <xf numFmtId="0" fontId="45" fillId="0" borderId="62" xfId="0" applyFont="1" applyBorder="1"/>
    <xf numFmtId="0" fontId="45" fillId="0" borderId="106" xfId="0" applyFont="1" applyBorder="1"/>
    <xf numFmtId="37" fontId="45" fillId="0" borderId="62" xfId="1" applyNumberFormat="1" applyFont="1" applyBorder="1"/>
    <xf numFmtId="37" fontId="45" fillId="0" borderId="97" xfId="1" applyNumberFormat="1" applyFont="1" applyBorder="1"/>
    <xf numFmtId="37" fontId="45" fillId="0" borderId="30" xfId="1" applyNumberFormat="1" applyFont="1" applyFill="1" applyBorder="1"/>
    <xf numFmtId="37" fontId="45" fillId="0" borderId="106" xfId="1" applyNumberFormat="1" applyFont="1" applyFill="1" applyBorder="1"/>
    <xf numFmtId="0" fontId="45" fillId="0" borderId="63" xfId="0" applyFont="1" applyBorder="1"/>
    <xf numFmtId="0" fontId="49" fillId="0" borderId="73" xfId="0" applyFont="1" applyBorder="1"/>
    <xf numFmtId="37" fontId="49" fillId="0" borderId="63" xfId="1" applyNumberFormat="1" applyFont="1" applyBorder="1"/>
    <xf numFmtId="37" fontId="49" fillId="0" borderId="47" xfId="1" applyNumberFormat="1" applyFont="1" applyBorder="1"/>
    <xf numFmtId="166" fontId="49" fillId="0" borderId="42" xfId="1" applyNumberFormat="1" applyFont="1" applyFill="1" applyBorder="1"/>
    <xf numFmtId="37" fontId="49" fillId="0" borderId="73" xfId="1" applyNumberFormat="1" applyFont="1" applyBorder="1"/>
    <xf numFmtId="37" fontId="49" fillId="0" borderId="55" xfId="1" applyNumberFormat="1" applyFont="1" applyBorder="1"/>
    <xf numFmtId="171" fontId="45" fillId="0" borderId="13" xfId="18" applyNumberFormat="1" applyFont="1" applyBorder="1"/>
    <xf numFmtId="0" fontId="45" fillId="0" borderId="13" xfId="18" applyFont="1" applyBorder="1"/>
    <xf numFmtId="37" fontId="45" fillId="0" borderId="0" xfId="19" applyNumberFormat="1" applyFont="1" applyBorder="1"/>
    <xf numFmtId="0" fontId="45" fillId="2" borderId="0" xfId="18" applyFont="1" applyFill="1"/>
    <xf numFmtId="171" fontId="45" fillId="0" borderId="107" xfId="18" applyNumberFormat="1" applyFont="1" applyBorder="1"/>
    <xf numFmtId="0" fontId="45" fillId="0" borderId="107" xfId="18" applyFont="1" applyBorder="1"/>
    <xf numFmtId="0" fontId="49" fillId="0" borderId="98" xfId="0" applyFont="1" applyBorder="1" applyAlignment="1">
      <alignment horizontal="center" vertical="center"/>
    </xf>
    <xf numFmtId="166" fontId="45" fillId="0" borderId="0" xfId="18" applyNumberFormat="1" applyFont="1"/>
    <xf numFmtId="0" fontId="45" fillId="0" borderId="100" xfId="0" applyFont="1" applyBorder="1" applyAlignment="1">
      <alignment horizontal="center" vertical="justify"/>
    </xf>
    <xf numFmtId="37" fontId="49" fillId="0" borderId="6" xfId="19" applyNumberFormat="1" applyFont="1" applyBorder="1" applyAlignment="1">
      <alignment horizontal="center" vertical="center" wrapText="1"/>
    </xf>
    <xf numFmtId="0" fontId="45" fillId="0" borderId="33" xfId="0" applyFont="1" applyBorder="1"/>
    <xf numFmtId="0" fontId="45" fillId="0" borderId="98" xfId="0" applyFont="1" applyBorder="1"/>
    <xf numFmtId="37" fontId="49" fillId="0" borderId="33" xfId="1" applyNumberFormat="1" applyFont="1" applyBorder="1"/>
    <xf numFmtId="37" fontId="45" fillId="0" borderId="95" xfId="1" applyNumberFormat="1" applyFont="1" applyBorder="1"/>
    <xf numFmtId="37" fontId="45" fillId="0" borderId="40" xfId="1" applyNumberFormat="1" applyFont="1" applyBorder="1"/>
    <xf numFmtId="0" fontId="49" fillId="0" borderId="13" xfId="18" applyFont="1" applyBorder="1"/>
    <xf numFmtId="0" fontId="45" fillId="0" borderId="99" xfId="0" applyFont="1" applyBorder="1"/>
    <xf numFmtId="37" fontId="45" fillId="0" borderId="94" xfId="1" applyNumberFormat="1" applyFont="1" applyBorder="1"/>
    <xf numFmtId="0" fontId="49" fillId="2" borderId="0" xfId="18" applyFont="1" applyFill="1"/>
    <xf numFmtId="166" fontId="49" fillId="2" borderId="0" xfId="18" applyNumberFormat="1" applyFont="1" applyFill="1"/>
    <xf numFmtId="166" fontId="45" fillId="0" borderId="4" xfId="1" applyNumberFormat="1" applyFont="1" applyFill="1" applyBorder="1"/>
    <xf numFmtId="166" fontId="45" fillId="0" borderId="40" xfId="1" applyNumberFormat="1" applyFont="1" applyFill="1" applyBorder="1"/>
    <xf numFmtId="0" fontId="45" fillId="0" borderId="100" xfId="0" applyFont="1" applyBorder="1"/>
    <xf numFmtId="37" fontId="45" fillId="0" borderId="46" xfId="1" applyNumberFormat="1" applyFont="1" applyBorder="1"/>
    <xf numFmtId="37" fontId="49" fillId="0" borderId="68" xfId="1" applyNumberFormat="1" applyFont="1" applyBorder="1"/>
    <xf numFmtId="37" fontId="49" fillId="0" borderId="38" xfId="1" applyNumberFormat="1" applyFont="1" applyBorder="1"/>
    <xf numFmtId="0" fontId="49" fillId="0" borderId="6" xfId="0" applyFont="1" applyBorder="1"/>
    <xf numFmtId="0" fontId="49" fillId="0" borderId="96" xfId="0" applyFont="1" applyBorder="1"/>
    <xf numFmtId="37" fontId="49" fillId="0" borderId="107" xfId="19" applyNumberFormat="1" applyFont="1" applyBorder="1" applyAlignment="1">
      <alignment horizontal="center"/>
    </xf>
    <xf numFmtId="37" fontId="49" fillId="0" borderId="31" xfId="19" applyNumberFormat="1" applyFont="1" applyBorder="1" applyAlignment="1">
      <alignment horizontal="center"/>
    </xf>
    <xf numFmtId="37" fontId="49" fillId="0" borderId="9" xfId="19" applyNumberFormat="1" applyFont="1" applyBorder="1" applyAlignment="1">
      <alignment horizontal="center"/>
    </xf>
    <xf numFmtId="0" fontId="49" fillId="0" borderId="0" xfId="18" applyFont="1"/>
    <xf numFmtId="166" fontId="49" fillId="0" borderId="13" xfId="19" applyNumberFormat="1" applyFont="1" applyBorder="1"/>
    <xf numFmtId="37" fontId="49" fillId="0" borderId="97" xfId="19" applyNumberFormat="1" applyFont="1" applyBorder="1" applyAlignment="1">
      <alignment horizontal="center" vertical="top" wrapText="1"/>
    </xf>
    <xf numFmtId="37" fontId="45" fillId="0" borderId="0" xfId="19" applyNumberFormat="1" applyFont="1" applyFill="1"/>
    <xf numFmtId="43" fontId="45" fillId="2" borderId="0" xfId="19" applyNumberFormat="1" applyFont="1" applyFill="1"/>
    <xf numFmtId="37" fontId="49" fillId="0" borderId="31" xfId="1" applyNumberFormat="1" applyFont="1" applyFill="1" applyBorder="1" applyAlignment="1">
      <alignment horizontal="center" vertical="center"/>
    </xf>
    <xf numFmtId="37" fontId="45" fillId="0" borderId="5" xfId="1" applyNumberFormat="1" applyFont="1" applyBorder="1" applyAlignment="1">
      <alignment vertical="top"/>
    </xf>
    <xf numFmtId="37" fontId="45" fillId="0" borderId="0" xfId="1" applyNumberFormat="1" applyFont="1" applyBorder="1" applyAlignment="1">
      <alignment vertical="top"/>
    </xf>
    <xf numFmtId="37" fontId="49" fillId="0" borderId="5" xfId="1" applyNumberFormat="1" applyFont="1" applyBorder="1" applyAlignment="1">
      <alignment vertical="top"/>
    </xf>
    <xf numFmtId="37" fontId="45" fillId="0" borderId="46" xfId="1" applyNumberFormat="1" applyFont="1" applyFill="1" applyBorder="1" applyAlignment="1">
      <alignment vertical="top"/>
    </xf>
    <xf numFmtId="37" fontId="45" fillId="0" borderId="0" xfId="1" applyNumberFormat="1" applyFont="1" applyFill="1" applyBorder="1" applyAlignment="1" applyProtection="1">
      <alignment vertical="top"/>
    </xf>
    <xf numFmtId="37" fontId="49" fillId="0" borderId="0" xfId="4" applyNumberFormat="1" applyFont="1" applyFill="1" applyBorder="1" applyAlignment="1" applyProtection="1">
      <alignment horizontal="center" vertical="top"/>
    </xf>
    <xf numFmtId="37" fontId="45" fillId="0" borderId="0" xfId="4" applyNumberFormat="1" applyFont="1" applyFill="1" applyBorder="1" applyAlignment="1" applyProtection="1">
      <alignment vertical="top"/>
    </xf>
    <xf numFmtId="165" fontId="49" fillId="0" borderId="4" xfId="4" applyFont="1" applyFill="1" applyBorder="1" applyAlignment="1" applyProtection="1">
      <alignment vertical="top" wrapText="1"/>
    </xf>
    <xf numFmtId="37" fontId="49" fillId="0" borderId="107" xfId="1" applyNumberFormat="1" applyFont="1" applyFill="1" applyBorder="1" applyAlignment="1">
      <alignment horizontal="center" vertical="center"/>
    </xf>
    <xf numFmtId="171" fontId="45" fillId="0" borderId="0" xfId="1" applyNumberFormat="1" applyFont="1" applyBorder="1" applyAlignment="1">
      <alignment vertical="top"/>
    </xf>
    <xf numFmtId="0" fontId="49" fillId="6" borderId="35" xfId="6" applyNumberFormat="1" applyFont="1" applyFill="1" applyBorder="1" applyAlignment="1">
      <alignment vertical="top"/>
    </xf>
    <xf numFmtId="0" fontId="45" fillId="0" borderId="35" xfId="6" applyNumberFormat="1" applyFont="1" applyBorder="1" applyAlignment="1">
      <alignment vertical="top"/>
    </xf>
    <xf numFmtId="0" fontId="49" fillId="6" borderId="6" xfId="6" applyNumberFormat="1" applyFont="1" applyFill="1" applyBorder="1" applyAlignment="1">
      <alignment vertical="top"/>
    </xf>
    <xf numFmtId="37" fontId="45" fillId="0" borderId="2" xfId="1" applyNumberFormat="1" applyFont="1" applyFill="1" applyBorder="1" applyAlignment="1" applyProtection="1">
      <alignment vertical="top"/>
    </xf>
    <xf numFmtId="37" fontId="45" fillId="0" borderId="3" xfId="1" applyNumberFormat="1" applyFont="1" applyFill="1" applyBorder="1" applyAlignment="1" applyProtection="1">
      <alignment vertical="top"/>
    </xf>
    <xf numFmtId="37" fontId="49" fillId="0" borderId="0" xfId="1" applyNumberFormat="1" applyFont="1" applyFill="1" applyBorder="1" applyAlignment="1" applyProtection="1">
      <alignment vertical="top"/>
    </xf>
    <xf numFmtId="37" fontId="49" fillId="0" borderId="5" xfId="1" applyNumberFormat="1" applyFont="1" applyFill="1" applyBorder="1" applyAlignment="1" applyProtection="1">
      <alignment vertical="top"/>
    </xf>
    <xf numFmtId="37" fontId="45" fillId="0" borderId="5" xfId="1" applyNumberFormat="1" applyFont="1" applyFill="1" applyBorder="1" applyAlignment="1" applyProtection="1">
      <alignment vertical="top"/>
    </xf>
    <xf numFmtId="37" fontId="45" fillId="0" borderId="11" xfId="1" applyNumberFormat="1" applyFont="1" applyFill="1" applyBorder="1" applyAlignment="1" applyProtection="1">
      <alignment vertical="top"/>
    </xf>
    <xf numFmtId="37" fontId="45" fillId="0" borderId="12" xfId="1" applyNumberFormat="1" applyFont="1" applyFill="1" applyBorder="1" applyAlignment="1" applyProtection="1">
      <alignment vertical="top"/>
    </xf>
    <xf numFmtId="171" fontId="45" fillId="0" borderId="5" xfId="1" applyNumberFormat="1" applyFont="1" applyFill="1" applyBorder="1" applyAlignment="1">
      <alignment vertical="top"/>
    </xf>
    <xf numFmtId="168" fontId="45" fillId="0" borderId="101" xfId="1" applyNumberFormat="1" applyFont="1" applyFill="1" applyBorder="1" applyAlignment="1">
      <alignment vertical="top"/>
    </xf>
    <xf numFmtId="43" fontId="45" fillId="0" borderId="0" xfId="1" applyFont="1" applyBorder="1" applyAlignment="1">
      <alignment vertical="top"/>
    </xf>
    <xf numFmtId="43" fontId="45" fillId="0" borderId="101" xfId="1" applyFont="1" applyFill="1" applyBorder="1" applyAlignment="1">
      <alignment vertical="top"/>
    </xf>
    <xf numFmtId="171" fontId="45" fillId="0" borderId="101" xfId="1" applyNumberFormat="1" applyFont="1" applyFill="1" applyBorder="1"/>
    <xf numFmtId="171" fontId="49" fillId="0" borderId="38" xfId="1" applyNumberFormat="1" applyFont="1" applyFill="1" applyBorder="1" applyAlignment="1">
      <alignment vertical="top"/>
    </xf>
    <xf numFmtId="39" fontId="45" fillId="2" borderId="0" xfId="19" applyNumberFormat="1" applyFont="1" applyFill="1"/>
    <xf numFmtId="37" fontId="45" fillId="0" borderId="2" xfId="1" applyNumberFormat="1" applyFont="1" applyBorder="1" applyAlignment="1">
      <alignment vertical="top"/>
    </xf>
    <xf numFmtId="37" fontId="45" fillId="0" borderId="11" xfId="1" applyNumberFormat="1" applyFont="1" applyBorder="1" applyAlignment="1">
      <alignment vertical="top"/>
    </xf>
    <xf numFmtId="0" fontId="49" fillId="0" borderId="6" xfId="0" applyFont="1" applyBorder="1" applyAlignment="1">
      <alignment horizontal="center" vertical="top"/>
    </xf>
    <xf numFmtId="37" fontId="49" fillId="0" borderId="107" xfId="1" applyNumberFormat="1" applyFont="1" applyFill="1" applyBorder="1" applyAlignment="1">
      <alignment horizontal="center" vertical="top" wrapText="1"/>
    </xf>
    <xf numFmtId="37" fontId="49" fillId="0" borderId="9" xfId="1" applyNumberFormat="1" applyFont="1" applyFill="1" applyBorder="1" applyAlignment="1">
      <alignment horizontal="center" vertical="top"/>
    </xf>
    <xf numFmtId="37" fontId="49" fillId="0" borderId="101" xfId="1" applyNumberFormat="1" applyFont="1" applyBorder="1" applyAlignment="1">
      <alignment horizontal="center" vertical="top"/>
    </xf>
    <xf numFmtId="37" fontId="49" fillId="0" borderId="5" xfId="1" applyNumberFormat="1" applyFont="1" applyBorder="1" applyAlignment="1">
      <alignment horizontal="center" vertical="top"/>
    </xf>
    <xf numFmtId="171" fontId="49" fillId="0" borderId="0" xfId="1" applyNumberFormat="1" applyFont="1" applyBorder="1" applyAlignment="1">
      <alignment horizontal="center" vertical="top"/>
    </xf>
    <xf numFmtId="0" fontId="49" fillId="0" borderId="70" xfId="0" applyFont="1" applyBorder="1" applyAlignment="1">
      <alignment vertical="top"/>
    </xf>
    <xf numFmtId="37" fontId="49" fillId="0" borderId="107" xfId="1" applyNumberFormat="1" applyFont="1" applyBorder="1" applyAlignment="1">
      <alignment vertical="top"/>
    </xf>
    <xf numFmtId="37" fontId="49" fillId="0" borderId="9" xfId="1" applyNumberFormat="1" applyFont="1" applyBorder="1" applyAlignment="1">
      <alignment vertical="top"/>
    </xf>
    <xf numFmtId="0" fontId="45" fillId="0" borderId="5" xfId="0" applyFont="1" applyBorder="1" applyAlignment="1">
      <alignment vertical="top"/>
    </xf>
    <xf numFmtId="0" fontId="45" fillId="0" borderId="32" xfId="0" applyFont="1" applyBorder="1" applyAlignment="1">
      <alignment vertical="top"/>
    </xf>
    <xf numFmtId="0" fontId="45" fillId="0" borderId="33" xfId="0" applyFont="1" applyBorder="1" applyAlignment="1">
      <alignment vertical="top"/>
    </xf>
    <xf numFmtId="166" fontId="45" fillId="0" borderId="105" xfId="1" applyNumberFormat="1" applyFont="1" applyFill="1" applyBorder="1" applyAlignment="1">
      <alignment vertical="top"/>
    </xf>
    <xf numFmtId="166" fontId="49" fillId="0" borderId="59" xfId="1" applyNumberFormat="1" applyFont="1" applyFill="1" applyBorder="1" applyAlignment="1">
      <alignment vertical="top"/>
    </xf>
    <xf numFmtId="43" fontId="45" fillId="0" borderId="0" xfId="1" applyFont="1" applyFill="1" applyBorder="1" applyAlignment="1">
      <alignment vertical="top"/>
    </xf>
    <xf numFmtId="43" fontId="49" fillId="0" borderId="0" xfId="0" applyNumberFormat="1" applyFont="1" applyAlignment="1">
      <alignment vertical="top"/>
    </xf>
    <xf numFmtId="0" fontId="49" fillId="0" borderId="35" xfId="0" applyFont="1" applyBorder="1" applyAlignment="1">
      <alignment vertical="top"/>
    </xf>
    <xf numFmtId="166" fontId="45" fillId="0" borderId="104" xfId="1" applyNumberFormat="1" applyFont="1" applyFill="1" applyBorder="1" applyAlignment="1">
      <alignment vertical="top"/>
    </xf>
    <xf numFmtId="166" fontId="49" fillId="0" borderId="40" xfId="1" applyNumberFormat="1" applyFont="1" applyFill="1" applyBorder="1" applyAlignment="1">
      <alignment vertical="top"/>
    </xf>
    <xf numFmtId="171" fontId="45" fillId="0" borderId="0" xfId="1" applyNumberFormat="1" applyFont="1" applyFill="1" applyBorder="1" applyAlignment="1">
      <alignment vertical="top"/>
    </xf>
    <xf numFmtId="171" fontId="49" fillId="0" borderId="0" xfId="0" applyNumberFormat="1" applyFont="1" applyAlignment="1">
      <alignment vertical="top"/>
    </xf>
    <xf numFmtId="166" fontId="49" fillId="0" borderId="96" xfId="1" applyNumberFormat="1" applyFont="1" applyFill="1" applyBorder="1" applyAlignment="1">
      <alignment vertical="top"/>
    </xf>
    <xf numFmtId="166" fontId="49" fillId="0" borderId="31" xfId="1" applyNumberFormat="1" applyFont="1" applyFill="1" applyBorder="1" applyAlignment="1">
      <alignment vertical="top"/>
    </xf>
    <xf numFmtId="43" fontId="49" fillId="0" borderId="23" xfId="1" applyFont="1" applyFill="1" applyBorder="1" applyAlignment="1">
      <alignment vertical="top"/>
    </xf>
    <xf numFmtId="43" fontId="49" fillId="0" borderId="13" xfId="1" applyFont="1" applyFill="1" applyBorder="1" applyAlignment="1">
      <alignment vertical="top"/>
    </xf>
    <xf numFmtId="171" fontId="49" fillId="0" borderId="13" xfId="1" applyNumberFormat="1" applyFont="1" applyBorder="1" applyAlignment="1">
      <alignment vertical="top"/>
    </xf>
    <xf numFmtId="0" fontId="49" fillId="0" borderId="63" xfId="0" applyFont="1" applyBorder="1" applyAlignment="1">
      <alignment vertical="top"/>
    </xf>
    <xf numFmtId="166" fontId="45" fillId="0" borderId="47" xfId="1" applyNumberFormat="1" applyFont="1" applyFill="1" applyBorder="1" applyAlignment="1">
      <alignment vertical="top"/>
    </xf>
    <xf numFmtId="37" fontId="49" fillId="0" borderId="47" xfId="1" applyNumberFormat="1" applyFont="1" applyBorder="1" applyAlignment="1">
      <alignment horizontal="right" vertical="top"/>
    </xf>
    <xf numFmtId="0" fontId="49" fillId="0" borderId="58" xfId="0" applyFont="1" applyBorder="1" applyAlignment="1">
      <alignment horizontal="center" vertical="top"/>
    </xf>
    <xf numFmtId="166" fontId="45" fillId="0" borderId="101" xfId="1" applyNumberFormat="1" applyFont="1" applyFill="1" applyBorder="1"/>
    <xf numFmtId="164" fontId="45" fillId="0" borderId="0" xfId="19" applyFont="1"/>
    <xf numFmtId="37" fontId="49" fillId="0" borderId="0" xfId="18" applyNumberFormat="1" applyFont="1"/>
    <xf numFmtId="171" fontId="45" fillId="0" borderId="0" xfId="1" applyNumberFormat="1" applyFont="1"/>
    <xf numFmtId="37" fontId="45" fillId="0" borderId="108" xfId="18" applyNumberFormat="1" applyFont="1" applyBorder="1"/>
    <xf numFmtId="37" fontId="49" fillId="0" borderId="108" xfId="18" applyNumberFormat="1" applyFont="1" applyBorder="1"/>
    <xf numFmtId="171" fontId="49" fillId="0" borderId="13" xfId="1" applyNumberFormat="1" applyFont="1" applyFill="1" applyBorder="1" applyAlignment="1">
      <alignment vertical="top"/>
    </xf>
    <xf numFmtId="164" fontId="45" fillId="0" borderId="104" xfId="1" applyNumberFormat="1" applyFont="1" applyFill="1" applyBorder="1" applyAlignment="1">
      <alignment vertical="top"/>
    </xf>
    <xf numFmtId="0" fontId="49" fillId="0" borderId="0" xfId="0" applyFont="1" applyAlignment="1">
      <alignment horizontal="left" vertical="top" wrapText="1"/>
    </xf>
    <xf numFmtId="0" fontId="49" fillId="4" borderId="0" xfId="0" applyFont="1" applyFill="1" applyAlignment="1">
      <alignment vertical="top"/>
    </xf>
    <xf numFmtId="0" fontId="70" fillId="0" borderId="0" xfId="0" applyFont="1" applyAlignment="1">
      <alignment horizontal="left" vertical="top"/>
    </xf>
    <xf numFmtId="0" fontId="71" fillId="0" borderId="0" xfId="0" quotePrefix="1" applyFont="1" applyAlignment="1">
      <alignment horizontal="left" vertical="top" wrapText="1" indent="1"/>
    </xf>
    <xf numFmtId="171" fontId="71" fillId="0" borderId="0" xfId="1" applyNumberFormat="1" applyFont="1" applyBorder="1" applyAlignment="1">
      <alignment vertical="top"/>
    </xf>
    <xf numFmtId="171" fontId="70" fillId="0" borderId="0" xfId="1" applyNumberFormat="1" applyFont="1" applyBorder="1" applyAlignment="1">
      <alignment vertical="top"/>
    </xf>
    <xf numFmtId="171" fontId="70" fillId="0" borderId="0" xfId="1" applyNumberFormat="1" applyFont="1" applyFill="1" applyBorder="1" applyAlignment="1">
      <alignment vertical="top"/>
    </xf>
    <xf numFmtId="37" fontId="45" fillId="0" borderId="0" xfId="1" applyNumberFormat="1" applyFont="1" applyFill="1" applyAlignment="1">
      <alignment horizontal="center" vertical="top"/>
    </xf>
    <xf numFmtId="0" fontId="49" fillId="0" borderId="10" xfId="0" applyFont="1" applyBorder="1" applyAlignment="1">
      <alignment vertical="top"/>
    </xf>
    <xf numFmtId="37" fontId="49" fillId="0" borderId="0" xfId="1" applyNumberFormat="1" applyFont="1" applyFill="1" applyBorder="1" applyAlignment="1">
      <alignment vertical="top"/>
    </xf>
    <xf numFmtId="0" fontId="49" fillId="0" borderId="1" xfId="0" applyFont="1" applyBorder="1" applyAlignment="1">
      <alignment vertical="top" wrapText="1"/>
    </xf>
    <xf numFmtId="37" fontId="45" fillId="0" borderId="3" xfId="1" applyNumberFormat="1" applyFont="1" applyFill="1" applyBorder="1" applyAlignment="1">
      <alignment vertical="top"/>
    </xf>
    <xf numFmtId="171" fontId="49" fillId="0" borderId="107" xfId="1" applyNumberFormat="1" applyFont="1" applyFill="1" applyBorder="1" applyAlignment="1" applyProtection="1">
      <alignment vertical="top"/>
    </xf>
    <xf numFmtId="171" fontId="45" fillId="0" borderId="101" xfId="1" applyNumberFormat="1" applyFont="1" applyFill="1" applyBorder="1" applyAlignment="1" applyProtection="1">
      <alignment vertical="top"/>
    </xf>
    <xf numFmtId="171" fontId="45" fillId="0" borderId="5" xfId="1" applyNumberFormat="1" applyFont="1" applyFill="1" applyBorder="1" applyAlignment="1" applyProtection="1">
      <alignment vertical="top"/>
    </xf>
    <xf numFmtId="171" fontId="49" fillId="0" borderId="31" xfId="1" applyNumberFormat="1" applyFont="1" applyFill="1" applyBorder="1" applyAlignment="1" applyProtection="1">
      <alignment vertical="top"/>
    </xf>
    <xf numFmtId="171" fontId="49" fillId="0" borderId="101" xfId="1" applyNumberFormat="1" applyFont="1" applyFill="1" applyBorder="1" applyAlignment="1" applyProtection="1">
      <alignment vertical="top"/>
    </xf>
    <xf numFmtId="171" fontId="49" fillId="0" borderId="5" xfId="1" applyNumberFormat="1" applyFont="1" applyFill="1" applyBorder="1" applyAlignment="1" applyProtection="1">
      <alignment vertical="top"/>
    </xf>
    <xf numFmtId="0" fontId="49" fillId="0" borderId="68" xfId="0" applyFont="1" applyBorder="1" applyAlignment="1">
      <alignment vertical="top"/>
    </xf>
    <xf numFmtId="37" fontId="49" fillId="0" borderId="0" xfId="1" applyNumberFormat="1" applyFont="1" applyFill="1" applyAlignment="1">
      <alignment horizontal="left" vertical="top"/>
    </xf>
    <xf numFmtId="0" fontId="45" fillId="0" borderId="1" xfId="0" applyFont="1" applyBorder="1" applyAlignment="1">
      <alignment horizontal="left" vertical="top" wrapText="1"/>
    </xf>
    <xf numFmtId="0" fontId="45" fillId="0" borderId="35" xfId="0" applyFont="1" applyBorder="1" applyAlignment="1">
      <alignment horizontal="left" vertical="top" wrapText="1" indent="2"/>
    </xf>
    <xf numFmtId="171" fontId="45" fillId="0" borderId="104" xfId="1" applyNumberFormat="1" applyFont="1" applyFill="1" applyBorder="1" applyAlignment="1">
      <alignment vertical="top"/>
    </xf>
    <xf numFmtId="171" fontId="45" fillId="0" borderId="40" xfId="1" applyNumberFormat="1" applyFont="1" applyFill="1" applyBorder="1" applyAlignment="1">
      <alignment vertical="top"/>
    </xf>
    <xf numFmtId="0" fontId="49" fillId="0" borderId="68" xfId="0" applyFont="1" applyBorder="1" applyAlignment="1">
      <alignment horizontal="left" vertical="top" wrapText="1"/>
    </xf>
    <xf numFmtId="2" fontId="45" fillId="0" borderId="0" xfId="0" applyNumberFormat="1" applyFont="1" applyAlignment="1">
      <alignment vertical="top"/>
    </xf>
    <xf numFmtId="171" fontId="49" fillId="0" borderId="0" xfId="1" applyNumberFormat="1" applyFont="1" applyFill="1" applyBorder="1" applyAlignment="1">
      <alignment vertical="top"/>
    </xf>
    <xf numFmtId="37" fontId="45" fillId="0" borderId="0" xfId="1" applyNumberFormat="1" applyFont="1" applyFill="1" applyAlignment="1">
      <alignment vertical="top"/>
    </xf>
    <xf numFmtId="0" fontId="45" fillId="0" borderId="58" xfId="6" applyNumberFormat="1" applyFont="1" applyBorder="1" applyAlignment="1">
      <alignment vertical="top"/>
    </xf>
    <xf numFmtId="37" fontId="45" fillId="0" borderId="79" xfId="1" applyNumberFormat="1" applyFont="1" applyFill="1" applyBorder="1" applyAlignment="1">
      <alignment vertical="top"/>
    </xf>
    <xf numFmtId="37" fontId="45" fillId="0" borderId="40" xfId="1" applyNumberFormat="1" applyFont="1" applyFill="1" applyBorder="1" applyAlignment="1">
      <alignment vertical="top"/>
    </xf>
    <xf numFmtId="0" fontId="49" fillId="0" borderId="63" xfId="0" applyFont="1" applyBorder="1" applyAlignment="1">
      <alignment horizontal="left" vertical="top"/>
    </xf>
    <xf numFmtId="37" fontId="49" fillId="0" borderId="47" xfId="1" applyNumberFormat="1" applyFont="1" applyFill="1" applyBorder="1" applyAlignment="1">
      <alignment vertical="top"/>
    </xf>
    <xf numFmtId="37" fontId="49" fillId="0" borderId="55" xfId="1" applyNumberFormat="1" applyFont="1" applyFill="1" applyBorder="1" applyAlignment="1">
      <alignment vertical="top"/>
    </xf>
    <xf numFmtId="37" fontId="45" fillId="0" borderId="0" xfId="1" applyNumberFormat="1" applyFont="1" applyFill="1" applyAlignment="1">
      <alignment vertical="top" wrapText="1"/>
    </xf>
    <xf numFmtId="0" fontId="49" fillId="0" borderId="58" xfId="0" applyFont="1" applyBorder="1" applyAlignment="1">
      <alignment vertical="top" wrapText="1"/>
    </xf>
    <xf numFmtId="0" fontId="45" fillId="0" borderId="35" xfId="0" applyFont="1" applyBorder="1" applyAlignment="1">
      <alignment horizontal="left" vertical="top" wrapText="1" indent="6"/>
    </xf>
    <xf numFmtId="0" fontId="49" fillId="0" borderId="35" xfId="0" applyFont="1" applyBorder="1" applyAlignment="1">
      <alignment horizontal="left" vertical="top" wrapText="1" indent="6"/>
    </xf>
    <xf numFmtId="171" fontId="49" fillId="0" borderId="107" xfId="1" applyNumberFormat="1" applyFont="1" applyFill="1" applyBorder="1" applyAlignment="1">
      <alignment vertical="top"/>
    </xf>
    <xf numFmtId="171" fontId="49" fillId="0" borderId="31" xfId="1" applyNumberFormat="1" applyFont="1" applyFill="1" applyBorder="1" applyAlignment="1">
      <alignment vertical="top"/>
    </xf>
    <xf numFmtId="0" fontId="49" fillId="0" borderId="35" xfId="0" applyFont="1" applyBorder="1" applyAlignment="1">
      <alignment vertical="top" wrapText="1"/>
    </xf>
    <xf numFmtId="0" fontId="49" fillId="0" borderId="4" xfId="0" applyFont="1" applyBorder="1" applyAlignment="1">
      <alignment horizontal="left" vertical="top" wrapText="1" indent="6"/>
    </xf>
    <xf numFmtId="171" fontId="49" fillId="0" borderId="101" xfId="1" applyNumberFormat="1" applyFont="1" applyFill="1" applyBorder="1" applyAlignment="1">
      <alignment vertical="top"/>
    </xf>
    <xf numFmtId="0" fontId="49" fillId="0" borderId="63" xfId="0" applyFont="1" applyBorder="1" applyAlignment="1">
      <alignment horizontal="left" vertical="top" wrapText="1"/>
    </xf>
    <xf numFmtId="0" fontId="49" fillId="0" borderId="0" xfId="0" applyFont="1" applyAlignment="1">
      <alignment horizontal="right" vertical="top" wrapText="1"/>
    </xf>
    <xf numFmtId="0" fontId="45" fillId="0" borderId="58" xfId="0" applyFont="1" applyBorder="1" applyAlignment="1">
      <alignment vertical="top" wrapText="1"/>
    </xf>
    <xf numFmtId="171" fontId="45" fillId="0" borderId="26" xfId="1" applyNumberFormat="1" applyFont="1" applyFill="1" applyBorder="1" applyAlignment="1">
      <alignment vertical="top"/>
    </xf>
    <xf numFmtId="171" fontId="45" fillId="0" borderId="3" xfId="1" applyNumberFormat="1" applyFont="1" applyFill="1" applyBorder="1" applyAlignment="1">
      <alignment vertical="top"/>
    </xf>
    <xf numFmtId="0" fontId="45" fillId="0" borderId="35" xfId="0" applyFont="1" applyBorder="1" applyAlignment="1">
      <alignment vertical="top" wrapText="1"/>
    </xf>
    <xf numFmtId="171" fontId="45" fillId="0" borderId="79" xfId="1" applyNumberFormat="1" applyFont="1" applyFill="1" applyBorder="1" applyAlignment="1">
      <alignment vertical="top"/>
    </xf>
    <xf numFmtId="37" fontId="49" fillId="0" borderId="0" xfId="1" applyNumberFormat="1" applyFont="1" applyFill="1" applyAlignment="1">
      <alignment vertical="top"/>
    </xf>
    <xf numFmtId="0" fontId="45" fillId="0" borderId="1" xfId="0" applyFont="1" applyBorder="1" applyAlignment="1">
      <alignment horizontal="left" vertical="top"/>
    </xf>
    <xf numFmtId="39" fontId="45" fillId="0" borderId="0" xfId="0" applyNumberFormat="1" applyFont="1" applyAlignment="1">
      <alignment vertical="top"/>
    </xf>
    <xf numFmtId="0" fontId="45" fillId="0" borderId="1" xfId="6" applyNumberFormat="1" applyFont="1" applyBorder="1" applyAlignment="1">
      <alignment vertical="top"/>
    </xf>
    <xf numFmtId="37" fontId="49" fillId="0" borderId="38" xfId="1" applyNumberFormat="1" applyFont="1" applyFill="1" applyBorder="1" applyAlignment="1">
      <alignment vertical="top"/>
    </xf>
    <xf numFmtId="0" fontId="45" fillId="0" borderId="0" xfId="6" applyNumberFormat="1" applyFont="1" applyAlignment="1">
      <alignment vertical="top"/>
    </xf>
    <xf numFmtId="37" fontId="49" fillId="0" borderId="27" xfId="1" applyNumberFormat="1" applyFont="1" applyFill="1" applyBorder="1" applyAlignment="1">
      <alignment horizontal="center" vertical="top"/>
    </xf>
    <xf numFmtId="37" fontId="49" fillId="0" borderId="28" xfId="1" applyNumberFormat="1" applyFont="1" applyFill="1" applyBorder="1" applyAlignment="1">
      <alignment horizontal="center" vertical="top"/>
    </xf>
    <xf numFmtId="171" fontId="45" fillId="0" borderId="79" xfId="1" applyNumberFormat="1" applyFont="1" applyFill="1" applyBorder="1"/>
    <xf numFmtId="171" fontId="45" fillId="0" borderId="40" xfId="1" applyNumberFormat="1" applyFont="1" applyFill="1" applyBorder="1"/>
    <xf numFmtId="171" fontId="45" fillId="0" borderId="104" xfId="1" applyNumberFormat="1" applyFont="1" applyFill="1" applyBorder="1"/>
    <xf numFmtId="171" fontId="45" fillId="0" borderId="5" xfId="1" applyNumberFormat="1" applyFont="1" applyFill="1" applyBorder="1"/>
    <xf numFmtId="37" fontId="45" fillId="0" borderId="101" xfId="1" applyNumberFormat="1" applyFont="1" applyBorder="1"/>
    <xf numFmtId="37" fontId="45" fillId="0" borderId="46" xfId="1" applyNumberFormat="1" applyFont="1" applyFill="1" applyBorder="1"/>
    <xf numFmtId="37" fontId="45" fillId="0" borderId="39" xfId="1" applyNumberFormat="1" applyFont="1" applyFill="1" applyBorder="1"/>
    <xf numFmtId="37" fontId="49" fillId="0" borderId="42" xfId="1" applyNumberFormat="1" applyFont="1" applyFill="1" applyBorder="1"/>
    <xf numFmtId="166" fontId="49" fillId="0" borderId="47" xfId="1" applyNumberFormat="1" applyFont="1" applyFill="1" applyBorder="1"/>
    <xf numFmtId="0" fontId="49" fillId="0" borderId="0" xfId="0" applyFont="1" applyAlignment="1">
      <alignment horizontal="center"/>
    </xf>
    <xf numFmtId="0" fontId="45" fillId="0" borderId="56" xfId="0" applyFont="1" applyBorder="1"/>
    <xf numFmtId="0" fontId="45" fillId="0" borderId="103" xfId="0" applyFont="1" applyBorder="1"/>
    <xf numFmtId="0" fontId="45" fillId="0" borderId="15" xfId="0" applyFont="1" applyBorder="1"/>
    <xf numFmtId="0" fontId="45" fillId="0" borderId="4" xfId="0" applyFont="1" applyBorder="1"/>
    <xf numFmtId="0" fontId="45" fillId="0" borderId="22" xfId="0" applyFont="1" applyBorder="1"/>
    <xf numFmtId="0" fontId="69" fillId="0" borderId="4" xfId="0" applyFont="1" applyBorder="1"/>
    <xf numFmtId="49" fontId="45" fillId="0" borderId="0" xfId="0" applyNumberFormat="1" applyFont="1" applyAlignment="1">
      <alignment vertical="top"/>
    </xf>
    <xf numFmtId="166" fontId="45" fillId="0" borderId="0" xfId="0" applyNumberFormat="1" applyFont="1"/>
    <xf numFmtId="0" fontId="49" fillId="0" borderId="22" xfId="0" applyFont="1" applyBorder="1"/>
    <xf numFmtId="43" fontId="45" fillId="0" borderId="0" xfId="0" applyNumberFormat="1" applyFont="1"/>
    <xf numFmtId="164" fontId="45" fillId="0" borderId="0" xfId="0" applyNumberFormat="1" applyFont="1"/>
    <xf numFmtId="0" fontId="45" fillId="0" borderId="30" xfId="0" applyFont="1" applyBorder="1"/>
    <xf numFmtId="0" fontId="45" fillId="0" borderId="108" xfId="0" applyFont="1" applyBorder="1"/>
    <xf numFmtId="0" fontId="45" fillId="0" borderId="20" xfId="0" applyFont="1" applyBorder="1"/>
    <xf numFmtId="166" fontId="49" fillId="0" borderId="0" xfId="14" applyNumberFormat="1" applyFont="1" applyBorder="1" applyAlignment="1">
      <alignment horizontal="center"/>
    </xf>
    <xf numFmtId="165" fontId="46" fillId="0" borderId="4" xfId="4" applyFont="1" applyFill="1" applyBorder="1" applyAlignment="1" applyProtection="1">
      <alignment vertical="top"/>
    </xf>
    <xf numFmtId="0" fontId="49" fillId="0" borderId="11" xfId="0" applyFont="1" applyBorder="1"/>
    <xf numFmtId="0" fontId="49" fillId="0" borderId="11" xfId="0" applyFont="1" applyBorder="1" applyAlignment="1">
      <alignment horizontal="center"/>
    </xf>
    <xf numFmtId="166" fontId="49" fillId="0" borderId="11" xfId="14" applyNumberFormat="1" applyFont="1" applyBorder="1" applyAlignment="1">
      <alignment horizontal="center"/>
    </xf>
    <xf numFmtId="43" fontId="49" fillId="0" borderId="0" xfId="1" applyFont="1" applyFill="1" applyBorder="1" applyAlignment="1" applyProtection="1">
      <alignment vertical="top"/>
    </xf>
    <xf numFmtId="43" fontId="49" fillId="0" borderId="5" xfId="1" applyFont="1" applyFill="1" applyBorder="1" applyAlignment="1">
      <alignment vertical="top"/>
    </xf>
    <xf numFmtId="37" fontId="45" fillId="0" borderId="5" xfId="1" applyNumberFormat="1" applyFont="1" applyFill="1" applyBorder="1" applyAlignment="1">
      <alignment vertical="top"/>
    </xf>
    <xf numFmtId="166" fontId="49" fillId="0" borderId="107" xfId="1" applyNumberFormat="1" applyFont="1" applyFill="1" applyBorder="1"/>
    <xf numFmtId="166" fontId="45" fillId="0" borderId="46" xfId="1" applyNumberFormat="1" applyFont="1" applyFill="1" applyBorder="1"/>
    <xf numFmtId="43" fontId="45" fillId="0" borderId="95" xfId="1" applyFont="1" applyBorder="1"/>
    <xf numFmtId="43" fontId="45" fillId="0" borderId="5" xfId="1" applyFont="1" applyBorder="1"/>
    <xf numFmtId="43" fontId="45" fillId="0" borderId="101" xfId="1" applyFont="1" applyBorder="1"/>
    <xf numFmtId="43" fontId="45" fillId="0" borderId="97" xfId="1" applyFont="1" applyBorder="1"/>
    <xf numFmtId="43" fontId="45" fillId="0" borderId="39" xfId="1" applyFont="1" applyBorder="1"/>
    <xf numFmtId="43" fontId="49" fillId="0" borderId="0" xfId="1" applyFont="1" applyBorder="1"/>
    <xf numFmtId="43" fontId="49" fillId="0" borderId="5" xfId="1" applyFont="1" applyBorder="1"/>
    <xf numFmtId="43" fontId="49" fillId="0" borderId="5" xfId="1" applyFont="1" applyBorder="1" applyAlignment="1">
      <alignment horizontal="left"/>
    </xf>
    <xf numFmtId="43" fontId="49" fillId="0" borderId="11" xfId="1" applyFont="1" applyBorder="1"/>
    <xf numFmtId="43" fontId="49" fillId="0" borderId="12" xfId="1" applyFont="1" applyBorder="1"/>
    <xf numFmtId="43" fontId="45" fillId="0" borderId="0" xfId="1" applyFont="1"/>
    <xf numFmtId="171" fontId="49" fillId="0" borderId="40" xfId="1" applyNumberFormat="1" applyFont="1" applyFill="1" applyBorder="1" applyAlignment="1">
      <alignment vertical="top"/>
    </xf>
    <xf numFmtId="39" fontId="45" fillId="0" borderId="5" xfId="1" applyNumberFormat="1" applyFont="1" applyFill="1" applyBorder="1"/>
    <xf numFmtId="39" fontId="49" fillId="0" borderId="55" xfId="1" applyNumberFormat="1" applyFont="1" applyBorder="1"/>
    <xf numFmtId="164" fontId="45" fillId="2" borderId="104" xfId="1" applyNumberFormat="1" applyFont="1" applyFill="1" applyBorder="1"/>
    <xf numFmtId="0" fontId="49" fillId="0" borderId="4" xfId="0" applyFont="1" applyBorder="1" applyAlignment="1">
      <alignment vertical="center"/>
    </xf>
    <xf numFmtId="0" fontId="45" fillId="0" borderId="4" xfId="0" applyFont="1" applyBorder="1" applyAlignment="1">
      <alignment vertical="center"/>
    </xf>
    <xf numFmtId="0" fontId="45" fillId="0" borderId="4" xfId="0" quotePrefix="1" applyFont="1" applyBorder="1" applyAlignment="1">
      <alignment vertical="center"/>
    </xf>
    <xf numFmtId="0" fontId="49" fillId="0" borderId="4" xfId="0" quotePrefix="1" applyFont="1" applyBorder="1" applyAlignment="1">
      <alignment vertical="center"/>
    </xf>
    <xf numFmtId="166" fontId="49" fillId="0" borderId="40" xfId="1" applyNumberFormat="1" applyFont="1" applyFill="1" applyBorder="1"/>
    <xf numFmtId="166" fontId="45" fillId="0" borderId="0" xfId="0" applyNumberFormat="1" applyFont="1" applyAlignment="1">
      <alignment vertical="top"/>
    </xf>
    <xf numFmtId="171" fontId="45" fillId="0" borderId="26" xfId="1" applyNumberFormat="1" applyFont="1" applyFill="1" applyBorder="1"/>
    <xf numFmtId="37" fontId="45" fillId="0" borderId="5" xfId="0" applyNumberFormat="1" applyFont="1" applyBorder="1"/>
    <xf numFmtId="0" fontId="49" fillId="0" borderId="10" xfId="0" applyFont="1" applyBorder="1"/>
    <xf numFmtId="37" fontId="45" fillId="0" borderId="11" xfId="0" applyNumberFormat="1" applyFont="1" applyBorder="1"/>
    <xf numFmtId="37" fontId="45" fillId="0" borderId="12" xfId="0" applyNumberFormat="1" applyFont="1" applyBorder="1"/>
    <xf numFmtId="0" fontId="49" fillId="0" borderId="72" xfId="0" applyFont="1" applyBorder="1" applyAlignment="1">
      <alignment horizontal="center" vertical="top" wrapText="1"/>
    </xf>
    <xf numFmtId="37" fontId="49" fillId="0" borderId="64" xfId="0" applyNumberFormat="1" applyFont="1" applyBorder="1" applyAlignment="1">
      <alignment horizontal="center" vertical="top" wrapText="1"/>
    </xf>
    <xf numFmtId="37" fontId="49" fillId="0" borderId="65" xfId="0" applyNumberFormat="1" applyFont="1" applyBorder="1" applyAlignment="1">
      <alignment horizontal="center" vertical="top" wrapText="1"/>
    </xf>
    <xf numFmtId="37" fontId="49" fillId="0" borderId="75" xfId="0" applyNumberFormat="1" applyFont="1" applyBorder="1" applyAlignment="1">
      <alignment horizontal="center" vertical="top" wrapText="1"/>
    </xf>
    <xf numFmtId="37" fontId="49" fillId="0" borderId="0" xfId="0" applyNumberFormat="1" applyFont="1" applyAlignment="1">
      <alignment horizontal="center" vertical="top" wrapText="1"/>
    </xf>
    <xf numFmtId="0" fontId="45" fillId="0" borderId="0" xfId="0" applyFont="1" applyAlignment="1">
      <alignment horizontal="center" vertical="top" wrapText="1"/>
    </xf>
    <xf numFmtId="49" fontId="45" fillId="0" borderId="24" xfId="0" applyNumberFormat="1" applyFont="1" applyBorder="1" applyAlignment="1">
      <alignment vertical="top"/>
    </xf>
    <xf numFmtId="37" fontId="49" fillId="0" borderId="58" xfId="0" applyNumberFormat="1" applyFont="1" applyBorder="1"/>
    <xf numFmtId="37" fontId="45" fillId="0" borderId="26" xfId="0" applyNumberFormat="1" applyFont="1" applyBorder="1"/>
    <xf numFmtId="37" fontId="49" fillId="0" borderId="101" xfId="0" applyNumberFormat="1" applyFont="1" applyBorder="1"/>
    <xf numFmtId="171" fontId="49" fillId="0" borderId="26" xfId="1" applyNumberFormat="1" applyFont="1" applyFill="1" applyBorder="1" applyAlignment="1">
      <alignment vertical="top"/>
    </xf>
    <xf numFmtId="49" fontId="45" fillId="0" borderId="32" xfId="0" applyNumberFormat="1" applyFont="1" applyBorder="1" applyAlignment="1">
      <alignment vertical="top"/>
    </xf>
    <xf numFmtId="37" fontId="49" fillId="0" borderId="35" xfId="0" applyNumberFormat="1" applyFont="1" applyBorder="1"/>
    <xf numFmtId="37" fontId="45" fillId="0" borderId="101" xfId="0" applyNumberFormat="1" applyFont="1" applyBorder="1"/>
    <xf numFmtId="171" fontId="45" fillId="0" borderId="0" xfId="1" applyNumberFormat="1" applyFont="1" applyFill="1"/>
    <xf numFmtId="49" fontId="45" fillId="0" borderId="45" xfId="0" applyNumberFormat="1" applyFont="1" applyBorder="1" applyAlignment="1">
      <alignment vertical="top"/>
    </xf>
    <xf numFmtId="37" fontId="49" fillId="0" borderId="41" xfId="0" applyNumberFormat="1" applyFont="1" applyBorder="1"/>
    <xf numFmtId="37" fontId="45" fillId="0" borderId="44" xfId="0" applyNumberFormat="1" applyFont="1" applyBorder="1"/>
    <xf numFmtId="37" fontId="49" fillId="0" borderId="44" xfId="0" applyNumberFormat="1" applyFont="1" applyBorder="1"/>
    <xf numFmtId="171" fontId="49" fillId="0" borderId="44" xfId="1" applyNumberFormat="1" applyFont="1" applyFill="1" applyBorder="1" applyAlignment="1">
      <alignment vertical="top"/>
    </xf>
    <xf numFmtId="0" fontId="49" fillId="0" borderId="72" xfId="0" applyFont="1" applyBorder="1"/>
    <xf numFmtId="171" fontId="49" fillId="0" borderId="75" xfId="1" applyNumberFormat="1" applyFont="1" applyFill="1" applyBorder="1" applyAlignment="1">
      <alignment vertical="top"/>
    </xf>
    <xf numFmtId="0" fontId="49" fillId="0" borderId="107" xfId="0" applyFont="1" applyBorder="1" applyAlignment="1">
      <alignment horizontal="left" vertical="top"/>
    </xf>
    <xf numFmtId="37" fontId="49" fillId="0" borderId="107" xfId="0" applyNumberFormat="1" applyFont="1" applyBorder="1" applyAlignment="1">
      <alignment horizontal="left" vertical="top"/>
    </xf>
    <xf numFmtId="171" fontId="45" fillId="0" borderId="0" xfId="0" applyNumberFormat="1" applyFont="1"/>
    <xf numFmtId="43" fontId="49" fillId="0" borderId="0" xfId="1" applyFont="1" applyFill="1" applyBorder="1" applyAlignment="1">
      <alignment vertical="top"/>
    </xf>
    <xf numFmtId="43" fontId="45" fillId="0" borderId="0" xfId="19" applyNumberFormat="1" applyFont="1" applyFill="1"/>
    <xf numFmtId="166" fontId="45" fillId="0" borderId="107" xfId="19" applyNumberFormat="1" applyFont="1" applyFill="1" applyBorder="1"/>
    <xf numFmtId="166" fontId="45" fillId="0" borderId="0" xfId="19" applyNumberFormat="1" applyFont="1" applyFill="1"/>
    <xf numFmtId="0" fontId="45" fillId="0" borderId="0" xfId="5" applyFont="1" applyAlignment="1">
      <alignment vertical="top"/>
    </xf>
    <xf numFmtId="0" fontId="49" fillId="0" borderId="2" xfId="0" applyFont="1" applyBorder="1" applyAlignment="1">
      <alignment vertical="top"/>
    </xf>
    <xf numFmtId="37" fontId="49" fillId="0" borderId="2" xfId="1" applyNumberFormat="1" applyFont="1" applyFill="1" applyBorder="1" applyAlignment="1">
      <alignment vertical="top"/>
    </xf>
    <xf numFmtId="0" fontId="45" fillId="0" borderId="11" xfId="0" applyFont="1" applyBorder="1" applyAlignment="1">
      <alignment horizontal="right" vertical="top"/>
    </xf>
    <xf numFmtId="0" fontId="46" fillId="0" borderId="4" xfId="0" applyFont="1" applyBorder="1" applyAlignment="1">
      <alignment vertical="top"/>
    </xf>
    <xf numFmtId="0" fontId="45" fillId="0" borderId="22" xfId="5" applyFont="1" applyBorder="1" applyAlignment="1">
      <alignment vertical="top"/>
    </xf>
    <xf numFmtId="37" fontId="45" fillId="0" borderId="95" xfId="1" applyNumberFormat="1" applyFont="1" applyFill="1" applyBorder="1" applyAlignment="1">
      <alignment vertical="top"/>
    </xf>
    <xf numFmtId="0" fontId="0" fillId="0" borderId="4" xfId="0" applyBorder="1" applyAlignment="1">
      <alignment vertical="top"/>
    </xf>
    <xf numFmtId="171" fontId="45" fillId="0" borderId="97" xfId="1" applyNumberFormat="1" applyFont="1" applyFill="1" applyBorder="1" applyAlignment="1">
      <alignment vertical="top"/>
    </xf>
    <xf numFmtId="0" fontId="74" fillId="0" borderId="4" xfId="0" applyFont="1" applyBorder="1" applyAlignment="1">
      <alignment vertical="top"/>
    </xf>
    <xf numFmtId="0" fontId="75" fillId="0" borderId="4" xfId="0" applyFont="1" applyBorder="1" applyAlignment="1">
      <alignment horizontal="left" vertical="top" indent="1"/>
    </xf>
    <xf numFmtId="0" fontId="0" fillId="0" borderId="4" xfId="0" applyBorder="1" applyAlignment="1">
      <alignment horizontal="left" vertical="top" indent="2"/>
    </xf>
    <xf numFmtId="43" fontId="45" fillId="0" borderId="97" xfId="1" applyFont="1" applyFill="1" applyBorder="1" applyAlignment="1">
      <alignment vertical="top"/>
    </xf>
    <xf numFmtId="168" fontId="45" fillId="0" borderId="20" xfId="1" applyNumberFormat="1" applyFont="1" applyFill="1" applyBorder="1" applyAlignment="1">
      <alignment vertical="top"/>
    </xf>
    <xf numFmtId="37" fontId="45" fillId="0" borderId="39" xfId="1" applyNumberFormat="1" applyFont="1" applyFill="1" applyBorder="1" applyAlignment="1">
      <alignment vertical="top"/>
    </xf>
    <xf numFmtId="43" fontId="49" fillId="0" borderId="101" xfId="1" applyFont="1" applyFill="1" applyBorder="1" applyAlignment="1">
      <alignment horizontal="center" vertical="top"/>
    </xf>
    <xf numFmtId="168" fontId="49" fillId="0" borderId="101" xfId="1" applyNumberFormat="1" applyFont="1" applyFill="1" applyBorder="1" applyAlignment="1">
      <alignment vertical="top"/>
    </xf>
    <xf numFmtId="43" fontId="49" fillId="0" borderId="101" xfId="1" applyFont="1" applyFill="1" applyBorder="1" applyAlignment="1">
      <alignment vertical="top"/>
    </xf>
    <xf numFmtId="37" fontId="49" fillId="0" borderId="5" xfId="1" applyNumberFormat="1" applyFont="1" applyFill="1" applyBorder="1" applyAlignment="1">
      <alignment vertical="top"/>
    </xf>
    <xf numFmtId="168" fontId="45" fillId="0" borderId="97" xfId="1" applyNumberFormat="1" applyFont="1" applyFill="1" applyBorder="1" applyAlignment="1">
      <alignment vertical="top"/>
    </xf>
    <xf numFmtId="37" fontId="45" fillId="0" borderId="0" xfId="5" applyNumberFormat="1" applyFont="1" applyAlignment="1">
      <alignment vertical="top"/>
    </xf>
    <xf numFmtId="43" fontId="49" fillId="0" borderId="107" xfId="1" applyFont="1" applyFill="1" applyBorder="1" applyAlignment="1">
      <alignment vertical="top"/>
    </xf>
    <xf numFmtId="37" fontId="49" fillId="0" borderId="31" xfId="1" applyNumberFormat="1" applyFont="1" applyFill="1" applyBorder="1" applyAlignment="1">
      <alignment vertical="top"/>
    </xf>
    <xf numFmtId="0" fontId="46" fillId="0" borderId="10" xfId="0" applyFont="1" applyBorder="1" applyAlignment="1">
      <alignment vertical="top"/>
    </xf>
    <xf numFmtId="0" fontId="45" fillId="0" borderId="43" xfId="5" applyFont="1" applyBorder="1" applyAlignment="1">
      <alignment vertical="top"/>
    </xf>
    <xf numFmtId="168" fontId="45" fillId="0" borderId="44" xfId="1" applyNumberFormat="1" applyFont="1" applyFill="1" applyBorder="1" applyAlignment="1">
      <alignment vertical="top"/>
    </xf>
    <xf numFmtId="0" fontId="0" fillId="0" borderId="1" xfId="0" applyBorder="1" applyAlignment="1">
      <alignment vertical="top"/>
    </xf>
    <xf numFmtId="0" fontId="45" fillId="0" borderId="2" xfId="5" applyFont="1" applyBorder="1" applyAlignment="1">
      <alignment vertical="top"/>
    </xf>
    <xf numFmtId="43" fontId="45" fillId="0" borderId="2" xfId="1" applyFont="1" applyFill="1" applyBorder="1" applyAlignment="1">
      <alignment vertical="top"/>
    </xf>
    <xf numFmtId="168" fontId="45" fillId="0" borderId="2" xfId="1" applyNumberFormat="1" applyFont="1" applyFill="1" applyBorder="1" applyAlignment="1">
      <alignment vertical="top"/>
    </xf>
    <xf numFmtId="39" fontId="45" fillId="0" borderId="3" xfId="1" applyNumberFormat="1" applyFont="1" applyFill="1" applyBorder="1" applyAlignment="1">
      <alignment vertical="top"/>
    </xf>
    <xf numFmtId="171" fontId="45" fillId="0" borderId="0" xfId="5" applyNumberFormat="1" applyFont="1" applyAlignment="1">
      <alignment vertical="top"/>
    </xf>
    <xf numFmtId="43" fontId="45" fillId="0" borderId="0" xfId="5" applyNumberFormat="1" applyFont="1" applyAlignment="1">
      <alignment vertical="top"/>
    </xf>
    <xf numFmtId="37" fontId="45" fillId="0" borderId="2" xfId="0" applyNumberFormat="1" applyFont="1" applyBorder="1" applyAlignment="1">
      <alignment vertical="top"/>
    </xf>
    <xf numFmtId="37" fontId="45" fillId="0" borderId="2" xfId="0" applyNumberFormat="1" applyFont="1" applyBorder="1" applyAlignment="1">
      <alignment horizontal="center" vertical="top"/>
    </xf>
    <xf numFmtId="37" fontId="45" fillId="0" borderId="0" xfId="0" applyNumberFormat="1" applyFont="1" applyAlignment="1">
      <alignment horizontal="center" vertical="top"/>
    </xf>
    <xf numFmtId="37" fontId="49" fillId="0" borderId="0" xfId="0" applyNumberFormat="1" applyFont="1" applyAlignment="1">
      <alignment vertical="top"/>
    </xf>
    <xf numFmtId="37" fontId="49" fillId="0" borderId="0" xfId="0" applyNumberFormat="1" applyFont="1" applyAlignment="1">
      <alignment horizontal="center" vertical="top"/>
    </xf>
    <xf numFmtId="37" fontId="45" fillId="0" borderId="0" xfId="0" applyNumberFormat="1" applyFont="1" applyAlignment="1">
      <alignment horizontal="left" vertical="top"/>
    </xf>
    <xf numFmtId="37" fontId="45" fillId="0" borderId="11" xfId="0" applyNumberFormat="1" applyFont="1" applyBorder="1" applyAlignment="1">
      <alignment vertical="top"/>
    </xf>
    <xf numFmtId="37" fontId="45" fillId="0" borderId="11" xfId="0" applyNumberFormat="1" applyFont="1" applyBorder="1" applyAlignment="1">
      <alignment horizontal="left" vertical="top"/>
    </xf>
    <xf numFmtId="37" fontId="45" fillId="0" borderId="12" xfId="1" applyNumberFormat="1" applyFont="1" applyFill="1" applyBorder="1" applyAlignment="1">
      <alignment vertical="top"/>
    </xf>
    <xf numFmtId="171" fontId="76" fillId="0" borderId="2" xfId="1" applyNumberFormat="1" applyFont="1" applyFill="1" applyBorder="1" applyAlignment="1">
      <alignment vertical="top"/>
    </xf>
    <xf numFmtId="171" fontId="77" fillId="0" borderId="65" xfId="1" applyNumberFormat="1" applyFont="1" applyBorder="1" applyAlignment="1">
      <alignment vertical="top"/>
    </xf>
    <xf numFmtId="171" fontId="45" fillId="0" borderId="101" xfId="1" applyNumberFormat="1" applyFont="1" applyBorder="1"/>
    <xf numFmtId="171" fontId="45" fillId="0" borderId="5" xfId="1" applyNumberFormat="1" applyFont="1" applyBorder="1"/>
    <xf numFmtId="171" fontId="45" fillId="0" borderId="97" xfId="1" applyNumberFormat="1" applyFont="1" applyBorder="1"/>
    <xf numFmtId="171" fontId="49" fillId="0" borderId="110" xfId="1" applyNumberFormat="1" applyFont="1" applyBorder="1"/>
    <xf numFmtId="166" fontId="49" fillId="0" borderId="0" xfId="14" applyNumberFormat="1" applyFont="1" applyBorder="1" applyAlignment="1">
      <alignment horizontal="left"/>
    </xf>
    <xf numFmtId="166" fontId="49" fillId="0" borderId="0" xfId="14" applyNumberFormat="1" applyFont="1" applyBorder="1" applyAlignment="1">
      <alignment horizontal="left"/>
    </xf>
    <xf numFmtId="166" fontId="49" fillId="0" borderId="5" xfId="14" applyNumberFormat="1" applyFont="1" applyBorder="1" applyAlignment="1">
      <alignment horizontal="left"/>
    </xf>
    <xf numFmtId="0" fontId="67" fillId="0" borderId="1" xfId="0" applyFont="1" applyBorder="1" applyAlignment="1">
      <alignment horizontal="center"/>
    </xf>
    <xf numFmtId="0" fontId="67" fillId="0" borderId="2" xfId="0" applyFont="1" applyBorder="1" applyAlignment="1">
      <alignment horizontal="center"/>
    </xf>
    <xf numFmtId="0" fontId="67" fillId="0" borderId="3" xfId="0" applyFont="1" applyBorder="1" applyAlignment="1">
      <alignment horizontal="center"/>
    </xf>
    <xf numFmtId="0" fontId="49" fillId="0" borderId="36" xfId="0" applyFont="1" applyBorder="1" applyAlignment="1">
      <alignment horizontal="center"/>
    </xf>
    <xf numFmtId="0" fontId="49" fillId="0" borderId="0" xfId="0" applyFont="1" applyAlignment="1">
      <alignment horizontal="center"/>
    </xf>
    <xf numFmtId="0" fontId="49" fillId="0" borderId="22" xfId="0" applyFont="1" applyBorder="1" applyAlignment="1">
      <alignment horizontal="center"/>
    </xf>
    <xf numFmtId="0" fontId="49" fillId="0" borderId="76" xfId="0" applyFont="1" applyBorder="1" applyAlignment="1">
      <alignment horizontal="center"/>
    </xf>
    <xf numFmtId="0" fontId="49" fillId="0" borderId="61" xfId="0" applyFont="1" applyBorder="1" applyAlignment="1">
      <alignment horizontal="center"/>
    </xf>
    <xf numFmtId="0" fontId="49" fillId="0" borderId="54" xfId="0" applyFont="1" applyBorder="1" applyAlignment="1">
      <alignment horizontal="center"/>
    </xf>
    <xf numFmtId="43" fontId="49" fillId="0" borderId="96" xfId="1" applyFont="1" applyBorder="1" applyAlignment="1">
      <alignment horizontal="center"/>
    </xf>
    <xf numFmtId="43" fontId="49" fillId="0" borderId="9" xfId="1" applyFont="1" applyBorder="1" applyAlignment="1">
      <alignment horizontal="center"/>
    </xf>
    <xf numFmtId="0" fontId="68" fillId="0" borderId="4" xfId="0" applyFont="1" applyBorder="1" applyAlignment="1">
      <alignment horizontal="center"/>
    </xf>
    <xf numFmtId="0" fontId="68" fillId="0" borderId="0" xfId="0" applyFont="1" applyAlignment="1">
      <alignment horizontal="center"/>
    </xf>
    <xf numFmtId="0" fontId="68" fillId="0" borderId="5" xfId="0" applyFont="1" applyBorder="1" applyAlignment="1">
      <alignment horizontal="center"/>
    </xf>
    <xf numFmtId="0" fontId="68" fillId="0" borderId="49" xfId="0" applyFont="1" applyBorder="1" applyAlignment="1">
      <alignment horizontal="center"/>
    </xf>
    <xf numFmtId="0" fontId="68" fillId="0" borderId="50" xfId="0" applyFont="1" applyBorder="1" applyAlignment="1">
      <alignment horizontal="center"/>
    </xf>
    <xf numFmtId="0" fontId="68" fillId="0" borderId="51" xfId="0" applyFont="1" applyBorder="1" applyAlignment="1">
      <alignment horizontal="center"/>
    </xf>
    <xf numFmtId="49" fontId="50" fillId="0" borderId="104" xfId="0" applyNumberFormat="1" applyFont="1" applyBorder="1" applyAlignment="1">
      <alignment horizontal="center" vertical="top" wrapText="1"/>
    </xf>
    <xf numFmtId="49" fontId="50" fillId="0" borderId="0" xfId="0" applyNumberFormat="1" applyFont="1" applyAlignment="1">
      <alignment horizontal="center" vertical="top" wrapText="1"/>
    </xf>
    <xf numFmtId="49" fontId="51" fillId="0" borderId="104" xfId="0" applyNumberFormat="1" applyFont="1" applyBorder="1" applyAlignment="1">
      <alignment horizontal="center" vertical="top" wrapText="1"/>
    </xf>
    <xf numFmtId="49" fontId="51" fillId="0" borderId="0" xfId="0" applyNumberFormat="1" applyFont="1" applyAlignment="1">
      <alignment horizontal="center" vertical="top" wrapText="1"/>
    </xf>
    <xf numFmtId="49" fontId="50" fillId="0" borderId="105" xfId="0" applyNumberFormat="1" applyFont="1" applyBorder="1" applyAlignment="1">
      <alignment horizontal="center" vertical="top"/>
    </xf>
    <xf numFmtId="49" fontId="50" fillId="0" borderId="103" xfId="0" applyNumberFormat="1" applyFont="1" applyBorder="1" applyAlignment="1">
      <alignment horizontal="center" vertical="top"/>
    </xf>
    <xf numFmtId="49" fontId="53" fillId="0" borderId="0" xfId="0" applyNumberFormat="1" applyFont="1" applyAlignment="1">
      <alignment vertical="top"/>
    </xf>
    <xf numFmtId="49" fontId="3" fillId="0" borderId="0" xfId="0" applyNumberFormat="1" applyFont="1" applyAlignment="1">
      <alignment vertical="top"/>
    </xf>
    <xf numFmtId="49" fontId="52" fillId="0" borderId="103" xfId="0" applyNumberFormat="1" applyFont="1" applyBorder="1" applyAlignment="1">
      <alignment horizontal="center" vertical="top" wrapText="1"/>
    </xf>
    <xf numFmtId="171" fontId="49" fillId="0" borderId="11" xfId="1" applyNumberFormat="1" applyFont="1" applyFill="1" applyBorder="1" applyAlignment="1">
      <alignment horizontal="right" vertical="top"/>
    </xf>
    <xf numFmtId="0" fontId="49" fillId="0" borderId="1" xfId="0" applyFont="1" applyBorder="1" applyAlignment="1">
      <alignment horizontal="center" vertical="top"/>
    </xf>
    <xf numFmtId="0" fontId="49" fillId="0" borderId="2" xfId="0" applyFont="1" applyBorder="1" applyAlignment="1">
      <alignment horizontal="center" vertical="top"/>
    </xf>
    <xf numFmtId="0" fontId="49" fillId="0" borderId="25" xfId="0" applyFont="1" applyBorder="1" applyAlignment="1">
      <alignment horizontal="center" vertical="top"/>
    </xf>
    <xf numFmtId="0" fontId="49" fillId="0" borderId="42" xfId="0" applyFont="1" applyBorder="1" applyAlignment="1">
      <alignment horizontal="left" vertical="top" wrapText="1"/>
    </xf>
    <xf numFmtId="0" fontId="49" fillId="0" borderId="11" xfId="0" applyFont="1" applyBorder="1" applyAlignment="1">
      <alignment horizontal="left" vertical="top" wrapText="1"/>
    </xf>
    <xf numFmtId="0" fontId="49" fillId="0" borderId="43" xfId="0" applyFont="1" applyBorder="1" applyAlignment="1">
      <alignment horizontal="left" vertical="top" wrapText="1"/>
    </xf>
    <xf numFmtId="0" fontId="67" fillId="0" borderId="1" xfId="0" applyFont="1" applyBorder="1" applyAlignment="1">
      <alignment horizontal="center" vertical="top"/>
    </xf>
    <xf numFmtId="0" fontId="67" fillId="0" borderId="2" xfId="0" applyFont="1" applyBorder="1" applyAlignment="1">
      <alignment horizontal="center" vertical="top"/>
    </xf>
    <xf numFmtId="0" fontId="67" fillId="0" borderId="3" xfId="0" applyFont="1" applyBorder="1" applyAlignment="1">
      <alignment horizontal="center" vertical="top"/>
    </xf>
    <xf numFmtId="0" fontId="49" fillId="0" borderId="49" xfId="0" applyFont="1" applyBorder="1" applyAlignment="1">
      <alignment horizontal="center" vertical="top"/>
    </xf>
    <xf numFmtId="0" fontId="49" fillId="0" borderId="50" xfId="0" applyFont="1" applyBorder="1" applyAlignment="1">
      <alignment horizontal="center" vertical="top"/>
    </xf>
    <xf numFmtId="0" fontId="49" fillId="0" borderId="51" xfId="0" applyFont="1" applyBorder="1" applyAlignment="1">
      <alignment horizontal="center" vertical="top"/>
    </xf>
    <xf numFmtId="0" fontId="68" fillId="0" borderId="4" xfId="0" applyFont="1" applyBorder="1" applyAlignment="1">
      <alignment horizontal="center" vertical="top"/>
    </xf>
    <xf numFmtId="0" fontId="68" fillId="0" borderId="0" xfId="0" applyFont="1" applyAlignment="1">
      <alignment horizontal="center" vertical="top"/>
    </xf>
    <xf numFmtId="0" fontId="68" fillId="0" borderId="5" xfId="0" applyFont="1" applyBorder="1" applyAlignment="1">
      <alignment horizontal="center" vertical="top"/>
    </xf>
    <xf numFmtId="165" fontId="68" fillId="0" borderId="49" xfId="4" applyFont="1" applyFill="1" applyBorder="1" applyAlignment="1" applyProtection="1">
      <alignment horizontal="center" vertical="top"/>
    </xf>
    <xf numFmtId="165" fontId="68" fillId="0" borderId="50" xfId="4" applyFont="1" applyFill="1" applyBorder="1" applyAlignment="1" applyProtection="1">
      <alignment horizontal="center" vertical="top"/>
    </xf>
    <xf numFmtId="165" fontId="68" fillId="0" borderId="51" xfId="4" applyFont="1" applyFill="1" applyBorder="1" applyAlignment="1" applyProtection="1">
      <alignment horizontal="center" vertical="top"/>
    </xf>
    <xf numFmtId="0" fontId="67" fillId="0" borderId="49" xfId="0" applyFont="1" applyBorder="1" applyAlignment="1">
      <alignment horizontal="center" vertical="top"/>
    </xf>
    <xf numFmtId="0" fontId="67" fillId="0" borderId="50" xfId="0" applyFont="1" applyBorder="1" applyAlignment="1">
      <alignment horizontal="center" vertical="top"/>
    </xf>
    <xf numFmtId="0" fontId="67" fillId="0" borderId="51" xfId="0" applyFont="1" applyBorder="1" applyAlignment="1">
      <alignment horizontal="center" vertical="top"/>
    </xf>
    <xf numFmtId="0" fontId="49" fillId="0" borderId="0" xfId="0" applyFont="1" applyAlignment="1">
      <alignment horizontal="left" vertical="top"/>
    </xf>
    <xf numFmtId="0" fontId="49" fillId="0" borderId="5" xfId="0" applyFont="1" applyBorder="1" applyAlignment="1">
      <alignment horizontal="left" vertical="top"/>
    </xf>
    <xf numFmtId="0" fontId="68" fillId="0" borderId="49" xfId="0" applyFont="1" applyBorder="1" applyAlignment="1">
      <alignment horizontal="center" vertical="top"/>
    </xf>
    <xf numFmtId="0" fontId="68" fillId="0" borderId="50" xfId="0" applyFont="1" applyBorder="1" applyAlignment="1">
      <alignment horizontal="center" vertical="top"/>
    </xf>
    <xf numFmtId="0" fontId="68" fillId="0" borderId="51" xfId="0" applyFont="1" applyBorder="1" applyAlignment="1">
      <alignment horizontal="center" vertical="top"/>
    </xf>
    <xf numFmtId="0" fontId="49" fillId="0" borderId="10" xfId="0" applyFont="1" applyBorder="1" applyAlignment="1">
      <alignment horizontal="center" vertical="top"/>
    </xf>
    <xf numFmtId="0" fontId="49" fillId="0" borderId="11" xfId="0" applyFont="1" applyBorder="1" applyAlignment="1">
      <alignment horizontal="center" vertical="top"/>
    </xf>
    <xf numFmtId="0" fontId="49" fillId="0" borderId="12" xfId="0" applyFont="1" applyBorder="1" applyAlignment="1">
      <alignment horizontal="center" vertical="top"/>
    </xf>
    <xf numFmtId="37" fontId="49" fillId="0" borderId="67" xfId="1" applyNumberFormat="1" applyFont="1" applyFill="1" applyBorder="1" applyAlignment="1">
      <alignment horizontal="center" vertical="top" wrapText="1"/>
    </xf>
    <xf numFmtId="37" fontId="49" fillId="0" borderId="2" xfId="1" applyNumberFormat="1" applyFont="1" applyFill="1" applyBorder="1" applyAlignment="1">
      <alignment horizontal="center" vertical="top" wrapText="1"/>
    </xf>
    <xf numFmtId="37" fontId="49" fillId="0" borderId="3" xfId="1" applyNumberFormat="1" applyFont="1" applyFill="1" applyBorder="1" applyAlignment="1">
      <alignment horizontal="center" vertical="top" wrapText="1"/>
    </xf>
    <xf numFmtId="0" fontId="49" fillId="0" borderId="10" xfId="0" applyFont="1" applyBorder="1" applyAlignment="1">
      <alignment horizontal="left" vertical="top" wrapText="1"/>
    </xf>
    <xf numFmtId="0" fontId="49" fillId="0" borderId="12" xfId="0" applyFont="1" applyBorder="1" applyAlignment="1">
      <alignment horizontal="left" vertical="top" wrapText="1"/>
    </xf>
    <xf numFmtId="0" fontId="68" fillId="0" borderId="10" xfId="0" applyFont="1" applyBorder="1" applyAlignment="1">
      <alignment horizontal="center" vertical="top"/>
    </xf>
    <xf numFmtId="0" fontId="68" fillId="0" borderId="11" xfId="0" applyFont="1" applyBorder="1" applyAlignment="1">
      <alignment horizontal="center" vertical="top"/>
    </xf>
    <xf numFmtId="0" fontId="68" fillId="0" borderId="12" xfId="0" applyFont="1" applyBorder="1" applyAlignment="1">
      <alignment horizontal="center" vertical="top"/>
    </xf>
    <xf numFmtId="0" fontId="73" fillId="0" borderId="49" xfId="0" applyFont="1" applyBorder="1" applyAlignment="1">
      <alignment horizontal="center" vertical="top"/>
    </xf>
    <xf numFmtId="0" fontId="73" fillId="0" borderId="50" xfId="0" applyFont="1" applyBorder="1" applyAlignment="1">
      <alignment horizontal="center" vertical="top"/>
    </xf>
    <xf numFmtId="0" fontId="73" fillId="0" borderId="51" xfId="0" applyFont="1" applyBorder="1" applyAlignment="1">
      <alignment horizontal="center" vertical="top"/>
    </xf>
    <xf numFmtId="0" fontId="70" fillId="0" borderId="49" xfId="0" applyFont="1" applyBorder="1" applyAlignment="1">
      <alignment horizontal="center" vertical="top"/>
    </xf>
    <xf numFmtId="0" fontId="70" fillId="0" borderId="50" xfId="0" applyFont="1" applyBorder="1" applyAlignment="1">
      <alignment horizontal="center" vertical="top"/>
    </xf>
    <xf numFmtId="0" fontId="70" fillId="0" borderId="51" xfId="0" applyFont="1" applyBorder="1" applyAlignment="1">
      <alignment horizontal="center" vertical="top"/>
    </xf>
    <xf numFmtId="0" fontId="71" fillId="0" borderId="0" xfId="0" applyFont="1" applyAlignment="1">
      <alignment horizontal="left" vertical="top" wrapText="1"/>
    </xf>
    <xf numFmtId="0" fontId="70" fillId="0" borderId="16" xfId="0" applyFont="1" applyBorder="1" applyAlignment="1">
      <alignment horizontal="center" vertical="top" wrapText="1"/>
    </xf>
    <xf numFmtId="0" fontId="70" fillId="0" borderId="18" xfId="0" applyFont="1" applyBorder="1" applyAlignment="1">
      <alignment horizontal="center" vertical="top" wrapText="1"/>
    </xf>
    <xf numFmtId="0" fontId="70" fillId="0" borderId="7" xfId="0" applyFont="1" applyBorder="1" applyAlignment="1">
      <alignment horizontal="center" vertical="top"/>
    </xf>
    <xf numFmtId="0" fontId="70" fillId="0" borderId="23" xfId="0" applyFont="1" applyBorder="1" applyAlignment="1">
      <alignment horizontal="center" vertical="top"/>
    </xf>
    <xf numFmtId="43" fontId="49" fillId="0" borderId="52" xfId="1" applyFont="1" applyFill="1" applyBorder="1" applyAlignment="1">
      <alignment horizontal="center" vertical="top" wrapText="1"/>
    </xf>
    <xf numFmtId="43" fontId="49" fillId="0" borderId="53" xfId="1" applyFont="1" applyFill="1" applyBorder="1" applyAlignment="1">
      <alignment horizontal="center" vertical="top" wrapText="1"/>
    </xf>
    <xf numFmtId="43" fontId="49" fillId="0" borderId="54" xfId="1" applyFont="1" applyFill="1" applyBorder="1" applyAlignment="1">
      <alignment horizontal="center" vertical="top" wrapText="1"/>
    </xf>
    <xf numFmtId="0" fontId="45" fillId="0" borderId="0" xfId="0" applyFont="1" applyAlignment="1">
      <alignment horizontal="left" vertical="top" wrapText="1"/>
    </xf>
    <xf numFmtId="0" fontId="45" fillId="0" borderId="96" xfId="5" applyFont="1" applyBorder="1" applyAlignment="1">
      <alignment horizontal="left" vertical="top" wrapText="1"/>
    </xf>
    <xf numFmtId="0" fontId="45" fillId="0" borderId="109" xfId="5" applyFont="1" applyBorder="1" applyAlignment="1">
      <alignment horizontal="left" vertical="top" wrapText="1"/>
    </xf>
    <xf numFmtId="0" fontId="45" fillId="0" borderId="23" xfId="5" applyFont="1" applyBorder="1" applyAlignment="1">
      <alignment horizontal="left" vertical="top" wrapText="1"/>
    </xf>
    <xf numFmtId="37" fontId="45" fillId="0" borderId="0" xfId="19" applyNumberFormat="1" applyFont="1" applyFill="1" applyBorder="1" applyAlignment="1">
      <alignment horizontal="center" wrapText="1"/>
    </xf>
    <xf numFmtId="0" fontId="49" fillId="0" borderId="61" xfId="18" applyFont="1" applyBorder="1" applyAlignment="1">
      <alignment horizontal="left"/>
    </xf>
    <xf numFmtId="0" fontId="49" fillId="0" borderId="2" xfId="18" applyFont="1" applyBorder="1" applyAlignment="1">
      <alignment horizontal="left"/>
    </xf>
    <xf numFmtId="0" fontId="49" fillId="0" borderId="54" xfId="18" applyFont="1" applyBorder="1" applyAlignment="1">
      <alignment horizontal="left"/>
    </xf>
    <xf numFmtId="0" fontId="67" fillId="0" borderId="49" xfId="18" applyFont="1" applyBorder="1" applyAlignment="1">
      <alignment horizontal="center"/>
    </xf>
    <xf numFmtId="0" fontId="67" fillId="0" borderId="50" xfId="18" applyFont="1" applyBorder="1" applyAlignment="1">
      <alignment horizontal="center"/>
    </xf>
    <xf numFmtId="0" fontId="67" fillId="0" borderId="51" xfId="18" applyFont="1" applyBorder="1" applyAlignment="1">
      <alignment horizontal="center"/>
    </xf>
    <xf numFmtId="0" fontId="49" fillId="0" borderId="10" xfId="18" applyFont="1" applyBorder="1" applyAlignment="1">
      <alignment horizontal="center"/>
    </xf>
    <xf numFmtId="0" fontId="49" fillId="0" borderId="11" xfId="18" applyFont="1" applyBorder="1" applyAlignment="1">
      <alignment horizontal="center"/>
    </xf>
    <xf numFmtId="0" fontId="49" fillId="0" borderId="12" xfId="18" applyFont="1" applyBorder="1" applyAlignment="1">
      <alignment horizontal="center"/>
    </xf>
    <xf numFmtId="37" fontId="49" fillId="0" borderId="76" xfId="19" applyNumberFormat="1" applyFont="1" applyBorder="1" applyAlignment="1">
      <alignment horizontal="center" vertical="center" wrapText="1"/>
    </xf>
    <xf numFmtId="37" fontId="49" fillId="0" borderId="61" xfId="19" applyNumberFormat="1" applyFont="1" applyBorder="1" applyAlignment="1">
      <alignment horizontal="center" vertical="center" wrapText="1"/>
    </xf>
    <xf numFmtId="37" fontId="49" fillId="0" borderId="54" xfId="19" applyNumberFormat="1" applyFont="1" applyBorder="1" applyAlignment="1">
      <alignment horizontal="center" vertical="center" wrapText="1"/>
    </xf>
    <xf numFmtId="37" fontId="49" fillId="0" borderId="76" xfId="19" applyNumberFormat="1" applyFont="1" applyBorder="1" applyAlignment="1">
      <alignment horizontal="center" vertical="center"/>
    </xf>
    <xf numFmtId="37" fontId="49" fillId="0" borderId="61" xfId="19" applyNumberFormat="1" applyFont="1" applyBorder="1" applyAlignment="1">
      <alignment horizontal="center" vertical="center"/>
    </xf>
    <xf numFmtId="37" fontId="49" fillId="0" borderId="54" xfId="19" applyNumberFormat="1" applyFont="1" applyBorder="1" applyAlignment="1">
      <alignment horizontal="center" vertical="center"/>
    </xf>
    <xf numFmtId="37" fontId="49" fillId="0" borderId="26" xfId="19" applyNumberFormat="1" applyFont="1" applyBorder="1" applyAlignment="1">
      <alignment horizontal="center" vertical="center"/>
    </xf>
    <xf numFmtId="37" fontId="49" fillId="0" borderId="97" xfId="19" applyNumberFormat="1" applyFont="1" applyBorder="1" applyAlignment="1">
      <alignment horizontal="center" vertical="center"/>
    </xf>
    <xf numFmtId="37" fontId="49" fillId="0" borderId="25" xfId="19" applyNumberFormat="1" applyFont="1" applyBorder="1" applyAlignment="1">
      <alignment horizontal="center" vertical="center"/>
    </xf>
    <xf numFmtId="37" fontId="49" fillId="0" borderId="20" xfId="19" applyNumberFormat="1" applyFont="1" applyBorder="1" applyAlignment="1">
      <alignment horizontal="center" vertical="center"/>
    </xf>
    <xf numFmtId="37" fontId="49" fillId="0" borderId="0" xfId="0" applyNumberFormat="1" applyFont="1" applyAlignment="1">
      <alignment horizontal="left" vertical="top"/>
    </xf>
    <xf numFmtId="0" fontId="49" fillId="0" borderId="4" xfId="0" applyFont="1" applyBorder="1" applyAlignment="1">
      <alignment horizontal="left" vertical="top" wrapText="1"/>
    </xf>
    <xf numFmtId="0" fontId="49" fillId="0" borderId="0" xfId="0" applyFont="1" applyAlignment="1">
      <alignment horizontal="left" vertical="top" wrapText="1"/>
    </xf>
    <xf numFmtId="37" fontId="49" fillId="0" borderId="11" xfId="1" applyNumberFormat="1" applyFont="1" applyFill="1" applyBorder="1" applyAlignment="1">
      <alignment horizontal="right" vertical="top"/>
    </xf>
    <xf numFmtId="37" fontId="49" fillId="0" borderId="52" xfId="1" applyNumberFormat="1" applyFont="1" applyFill="1" applyBorder="1" applyAlignment="1">
      <alignment horizontal="center" vertical="top"/>
    </xf>
    <xf numFmtId="37" fontId="49" fillId="0" borderId="53" xfId="1" applyNumberFormat="1" applyFont="1" applyFill="1" applyBorder="1" applyAlignment="1">
      <alignment horizontal="center" vertical="top"/>
    </xf>
    <xf numFmtId="37" fontId="49" fillId="0" borderId="61" xfId="1" applyNumberFormat="1" applyFont="1" applyFill="1" applyBorder="1" applyAlignment="1">
      <alignment horizontal="center" vertical="top" wrapText="1"/>
    </xf>
    <xf numFmtId="37" fontId="49" fillId="0" borderId="54" xfId="1" applyNumberFormat="1" applyFont="1" applyFill="1" applyBorder="1" applyAlignment="1">
      <alignment horizontal="center" vertical="top" wrapText="1"/>
    </xf>
    <xf numFmtId="0" fontId="0" fillId="0" borderId="4" xfId="0" applyBorder="1" applyAlignment="1">
      <alignment horizontal="left" vertical="top" wrapText="1"/>
    </xf>
    <xf numFmtId="0" fontId="0" fillId="0" borderId="22" xfId="0" applyBorder="1" applyAlignment="1">
      <alignment horizontal="left" vertical="top" wrapText="1"/>
    </xf>
    <xf numFmtId="43" fontId="5" fillId="0" borderId="24" xfId="1" applyFont="1" applyFill="1" applyBorder="1" applyAlignment="1">
      <alignment horizontal="left" vertical="top" wrapText="1"/>
    </xf>
    <xf numFmtId="43" fontId="5" fillId="0" borderId="29" xfId="1" applyFont="1" applyFill="1" applyBorder="1" applyAlignment="1">
      <alignment horizontal="left" vertical="top" wrapText="1"/>
    </xf>
    <xf numFmtId="0" fontId="11" fillId="0" borderId="58" xfId="0" applyFont="1" applyBorder="1" applyAlignment="1">
      <alignment horizontal="center" vertical="top" wrapText="1"/>
    </xf>
    <xf numFmtId="0" fontId="11" fillId="0" borderId="62" xfId="0" applyFont="1" applyBorder="1" applyAlignment="1">
      <alignment horizontal="center" vertical="top" wrapText="1"/>
    </xf>
    <xf numFmtId="0" fontId="3" fillId="2" borderId="10" xfId="0" quotePrefix="1" applyFont="1" applyFill="1" applyBorder="1" applyAlignment="1">
      <alignment horizontal="justify" vertical="top" wrapText="1"/>
    </xf>
    <xf numFmtId="0" fontId="3" fillId="2" borderId="11" xfId="0" applyFont="1" applyFill="1" applyBorder="1" applyAlignment="1">
      <alignment horizontal="justify" vertical="top" wrapText="1"/>
    </xf>
    <xf numFmtId="0" fontId="3" fillId="2" borderId="12" xfId="0" applyFont="1" applyFill="1" applyBorder="1" applyAlignment="1">
      <alignment horizontal="justify" vertical="top" wrapText="1"/>
    </xf>
    <xf numFmtId="43" fontId="5" fillId="0" borderId="32" xfId="1" applyFont="1" applyFill="1" applyBorder="1" applyAlignment="1">
      <alignment horizontal="left" vertical="top" wrapText="1"/>
    </xf>
    <xf numFmtId="0" fontId="11" fillId="0" borderId="22" xfId="0" applyFont="1" applyBorder="1" applyAlignment="1">
      <alignment horizontal="center" vertical="top" wrapText="1"/>
    </xf>
    <xf numFmtId="0" fontId="11" fillId="0" borderId="20" xfId="0" applyFont="1" applyBorder="1" applyAlignment="1">
      <alignment horizontal="center" vertical="top" wrapText="1"/>
    </xf>
    <xf numFmtId="0" fontId="3" fillId="3" borderId="68" xfId="0" quotePrefix="1" applyFont="1" applyFill="1" applyBorder="1" applyAlignment="1">
      <alignment horizontal="justify" vertical="top" wrapText="1"/>
    </xf>
    <xf numFmtId="0" fontId="3" fillId="3" borderId="69" xfId="0" applyFont="1" applyFill="1" applyBorder="1" applyAlignment="1">
      <alignment horizontal="justify" vertical="top" wrapText="1"/>
    </xf>
    <xf numFmtId="0" fontId="3" fillId="3" borderId="38" xfId="0" applyFont="1" applyFill="1" applyBorder="1" applyAlignment="1">
      <alignment horizontal="justify" vertical="top" wrapText="1"/>
    </xf>
    <xf numFmtId="0" fontId="4" fillId="2" borderId="70" xfId="5" quotePrefix="1" applyFill="1" applyBorder="1" applyAlignment="1">
      <alignment horizontal="justify" vertical="top" wrapText="1"/>
    </xf>
    <xf numFmtId="0" fontId="4" fillId="2" borderId="8" xfId="5" applyFill="1" applyBorder="1" applyAlignment="1">
      <alignment horizontal="justify" vertical="top" wrapText="1"/>
    </xf>
    <xf numFmtId="0" fontId="4" fillId="2" borderId="9" xfId="5" applyFill="1" applyBorder="1" applyAlignment="1">
      <alignment horizontal="justify" vertical="top" wrapText="1"/>
    </xf>
    <xf numFmtId="0" fontId="4" fillId="2" borderId="8" xfId="5" quotePrefix="1" applyFill="1" applyBorder="1" applyAlignment="1">
      <alignment horizontal="justify" vertical="top" wrapText="1"/>
    </xf>
    <xf numFmtId="0" fontId="4" fillId="2" borderId="9" xfId="5" quotePrefix="1" applyFill="1" applyBorder="1" applyAlignment="1">
      <alignment horizontal="justify" vertical="top" wrapText="1"/>
    </xf>
    <xf numFmtId="0" fontId="4" fillId="2" borderId="30" xfId="5" quotePrefix="1" applyFill="1" applyBorder="1" applyAlignment="1">
      <alignment horizontal="justify" vertical="top" wrapText="1"/>
    </xf>
    <xf numFmtId="0" fontId="4" fillId="2" borderId="19" xfId="5" quotePrefix="1" applyFill="1" applyBorder="1" applyAlignment="1">
      <alignment horizontal="justify" vertical="top" wrapText="1"/>
    </xf>
    <xf numFmtId="0" fontId="4" fillId="2" borderId="39" xfId="5" quotePrefix="1" applyFill="1" applyBorder="1" applyAlignment="1">
      <alignment horizontal="justify" vertical="top" wrapText="1"/>
    </xf>
    <xf numFmtId="0" fontId="14" fillId="0" borderId="76" xfId="0" applyFont="1" applyBorder="1" applyAlignment="1">
      <alignment horizontal="center" vertical="top"/>
    </xf>
    <xf numFmtId="0" fontId="14" fillId="0" borderId="61" xfId="0" applyFont="1" applyBorder="1" applyAlignment="1">
      <alignment horizontal="center" vertical="top"/>
    </xf>
    <xf numFmtId="0" fontId="14" fillId="0" borderId="54" xfId="0" applyFont="1" applyBorder="1" applyAlignment="1">
      <alignment horizontal="center" vertical="top"/>
    </xf>
    <xf numFmtId="0" fontId="4" fillId="2" borderId="10" xfId="5" quotePrefix="1" applyFill="1" applyBorder="1" applyAlignment="1">
      <alignment horizontal="justify" vertical="top" wrapText="1"/>
    </xf>
    <xf numFmtId="0" fontId="4" fillId="2" borderId="11" xfId="5" applyFill="1" applyBorder="1" applyAlignment="1">
      <alignment horizontal="justify" vertical="top" wrapText="1"/>
    </xf>
    <xf numFmtId="0" fontId="4" fillId="2" borderId="12" xfId="5" applyFill="1" applyBorder="1" applyAlignment="1">
      <alignment horizontal="justify" vertical="top" wrapText="1"/>
    </xf>
    <xf numFmtId="0" fontId="11" fillId="0" borderId="25" xfId="0" applyFont="1" applyBorder="1" applyAlignment="1">
      <alignment horizontal="center" vertical="top" wrapText="1"/>
    </xf>
    <xf numFmtId="0" fontId="8" fillId="3" borderId="7" xfId="0" applyFont="1" applyFill="1" applyBorder="1" applyAlignment="1">
      <alignment horizontal="justify" vertical="top" wrapText="1"/>
    </xf>
    <xf numFmtId="0" fontId="8" fillId="3" borderId="8" xfId="0" applyFont="1" applyFill="1" applyBorder="1" applyAlignment="1">
      <alignment horizontal="justify" vertical="top" wrapText="1"/>
    </xf>
    <xf numFmtId="0" fontId="8" fillId="3" borderId="9" xfId="0" applyFont="1" applyFill="1" applyBorder="1" applyAlignment="1">
      <alignment horizontal="justify" vertical="top" wrapText="1"/>
    </xf>
    <xf numFmtId="0" fontId="14" fillId="0" borderId="42" xfId="0" applyFont="1" applyBorder="1" applyAlignment="1">
      <alignment horizontal="right" vertical="top"/>
    </xf>
    <xf numFmtId="0" fontId="14" fillId="0" borderId="43" xfId="0" applyFont="1" applyBorder="1" applyAlignment="1">
      <alignment horizontal="right" vertical="top"/>
    </xf>
    <xf numFmtId="0" fontId="4" fillId="2" borderId="73" xfId="0" quotePrefix="1" applyFont="1" applyFill="1" applyBorder="1" applyAlignment="1">
      <alignment horizontal="justify" vertical="top" wrapText="1"/>
    </xf>
    <xf numFmtId="0" fontId="4" fillId="2" borderId="69" xfId="0" quotePrefix="1" applyFont="1" applyFill="1" applyBorder="1" applyAlignment="1">
      <alignment horizontal="justify" vertical="top" wrapText="1"/>
    </xf>
    <xf numFmtId="0" fontId="4" fillId="2" borderId="38" xfId="0" quotePrefix="1" applyFont="1" applyFill="1" applyBorder="1" applyAlignment="1">
      <alignment horizontal="justify" vertical="top" wrapText="1"/>
    </xf>
    <xf numFmtId="0" fontId="4" fillId="2" borderId="7" xfId="0" quotePrefix="1" applyFont="1" applyFill="1" applyBorder="1" applyAlignment="1">
      <alignment horizontal="justify" vertical="top" wrapText="1"/>
    </xf>
    <xf numFmtId="0" fontId="4" fillId="2" borderId="8" xfId="0" quotePrefix="1" applyFont="1" applyFill="1" applyBorder="1" applyAlignment="1">
      <alignment horizontal="justify" vertical="top" wrapText="1"/>
    </xf>
    <xf numFmtId="0" fontId="4" fillId="2" borderId="9" xfId="0" quotePrefix="1" applyFont="1" applyFill="1" applyBorder="1" applyAlignment="1">
      <alignment horizontal="justify" vertical="top" wrapText="1"/>
    </xf>
    <xf numFmtId="0" fontId="5" fillId="0" borderId="7" xfId="0" applyFont="1" applyBorder="1" applyAlignment="1">
      <alignment horizontal="center" vertical="top" wrapText="1"/>
    </xf>
    <xf numFmtId="0" fontId="5" fillId="0" borderId="9" xfId="0" applyFont="1" applyBorder="1" applyAlignment="1">
      <alignment horizontal="center"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4" fillId="0" borderId="36" xfId="0" applyFont="1" applyBorder="1" applyAlignment="1">
      <alignment horizontal="left" vertical="top"/>
    </xf>
    <xf numFmtId="0" fontId="4" fillId="0" borderId="22" xfId="0" applyFont="1" applyBorder="1" applyAlignment="1">
      <alignment horizontal="left" vertical="top"/>
    </xf>
    <xf numFmtId="0" fontId="4" fillId="0" borderId="36" xfId="0" applyFont="1" applyBorder="1" applyAlignment="1">
      <alignment horizontal="left" vertical="top" wrapText="1"/>
    </xf>
    <xf numFmtId="0" fontId="4" fillId="0" borderId="22" xfId="0" applyFont="1" applyBorder="1" applyAlignment="1">
      <alignment horizontal="left" vertical="top" wrapText="1"/>
    </xf>
    <xf numFmtId="0" fontId="4" fillId="4" borderId="0" xfId="0" applyFont="1" applyFill="1" applyAlignment="1">
      <alignment horizontal="left" vertical="top" wrapText="1"/>
    </xf>
    <xf numFmtId="0" fontId="4" fillId="4" borderId="5" xfId="0" applyFont="1" applyFill="1" applyBorder="1" applyAlignment="1">
      <alignment horizontal="left" vertical="top" wrapText="1"/>
    </xf>
    <xf numFmtId="0" fontId="5" fillId="0" borderId="23" xfId="5" applyFont="1" applyBorder="1" applyAlignment="1">
      <alignment horizontal="center" vertical="top"/>
    </xf>
    <xf numFmtId="0" fontId="5" fillId="0" borderId="13" xfId="5" applyFont="1" applyBorder="1" applyAlignment="1">
      <alignment horizontal="center" vertical="top"/>
    </xf>
    <xf numFmtId="0" fontId="5" fillId="0" borderId="31" xfId="5" applyFont="1" applyBorder="1" applyAlignment="1">
      <alignment horizontal="center" vertical="top"/>
    </xf>
    <xf numFmtId="0" fontId="5" fillId="4" borderId="57" xfId="0" applyFont="1" applyFill="1" applyBorder="1" applyAlignment="1">
      <alignment horizontal="justify" vertical="top" wrapText="1"/>
    </xf>
    <xf numFmtId="0" fontId="5" fillId="4" borderId="19" xfId="0" applyFont="1" applyFill="1" applyBorder="1" applyAlignment="1">
      <alignment horizontal="justify" vertical="top" wrapText="1"/>
    </xf>
    <xf numFmtId="0" fontId="5" fillId="4" borderId="39" xfId="0" applyFont="1" applyFill="1" applyBorder="1" applyAlignment="1">
      <alignment horizontal="justify" vertical="top" wrapText="1"/>
    </xf>
    <xf numFmtId="0" fontId="5" fillId="4" borderId="0" xfId="0" applyFont="1" applyFill="1" applyAlignment="1">
      <alignment horizontal="left" vertical="top" wrapText="1"/>
    </xf>
    <xf numFmtId="0" fontId="5" fillId="4" borderId="5" xfId="0" applyFont="1" applyFill="1" applyBorder="1" applyAlignment="1">
      <alignment horizontal="left" vertical="top" wrapText="1"/>
    </xf>
    <xf numFmtId="0" fontId="4" fillId="4" borderId="36" xfId="0" applyFont="1" applyFill="1" applyBorder="1" applyAlignment="1">
      <alignment horizontal="justify" vertical="top" wrapText="1"/>
    </xf>
    <xf numFmtId="0" fontId="4" fillId="4" borderId="0" xfId="0" applyFont="1" applyFill="1" applyAlignment="1">
      <alignment horizontal="justify" vertical="top" wrapText="1"/>
    </xf>
    <xf numFmtId="0" fontId="4" fillId="4" borderId="5" xfId="0" applyFont="1" applyFill="1" applyBorder="1" applyAlignment="1">
      <alignment horizontal="justify" vertical="top" wrapText="1"/>
    </xf>
    <xf numFmtId="0" fontId="4" fillId="4" borderId="43" xfId="0" applyFont="1" applyFill="1" applyBorder="1" applyAlignment="1">
      <alignment horizontal="left" vertical="top"/>
    </xf>
    <xf numFmtId="0" fontId="4" fillId="4" borderId="42" xfId="0" applyFont="1" applyFill="1" applyBorder="1" applyAlignment="1">
      <alignment horizontal="left" vertical="top"/>
    </xf>
    <xf numFmtId="0" fontId="4" fillId="2" borderId="8" xfId="0" applyFont="1" applyFill="1" applyBorder="1" applyAlignment="1">
      <alignment horizontal="justify" vertical="top" wrapText="1"/>
    </xf>
    <xf numFmtId="0" fontId="4" fillId="2" borderId="9" xfId="0" applyFont="1" applyFill="1" applyBorder="1" applyAlignment="1">
      <alignment horizontal="justify" vertical="top" wrapText="1"/>
    </xf>
    <xf numFmtId="0" fontId="4" fillId="2" borderId="57" xfId="0" quotePrefix="1" applyFont="1" applyFill="1" applyBorder="1" applyAlignment="1">
      <alignment horizontal="justify" vertical="top" wrapText="1"/>
    </xf>
    <xf numFmtId="0" fontId="4" fillId="2" borderId="19" xfId="0" applyFont="1" applyFill="1" applyBorder="1" applyAlignment="1">
      <alignment horizontal="justify" vertical="top" wrapText="1"/>
    </xf>
    <xf numFmtId="0" fontId="4" fillId="2" borderId="39" xfId="0" applyFont="1" applyFill="1" applyBorder="1" applyAlignment="1">
      <alignment horizontal="justify" vertical="top" wrapText="1"/>
    </xf>
    <xf numFmtId="0" fontId="3" fillId="0" borderId="36" xfId="0" applyFont="1" applyBorder="1" applyAlignment="1">
      <alignment horizontal="justify" vertical="top" wrapText="1"/>
    </xf>
    <xf numFmtId="0" fontId="3" fillId="0" borderId="0" xfId="0" applyFont="1" applyAlignment="1">
      <alignment horizontal="justify" vertical="top" wrapText="1"/>
    </xf>
    <xf numFmtId="0" fontId="3" fillId="0" borderId="5" xfId="0" applyFont="1" applyBorder="1" applyAlignment="1">
      <alignment horizontal="justify" vertical="top" wrapText="1"/>
    </xf>
    <xf numFmtId="0" fontId="4" fillId="4" borderId="22" xfId="0" applyFont="1" applyFill="1" applyBorder="1" applyAlignment="1">
      <alignment horizontal="left" vertical="top"/>
    </xf>
    <xf numFmtId="0" fontId="4" fillId="4" borderId="21" xfId="0" applyFont="1" applyFill="1" applyBorder="1" applyAlignment="1">
      <alignment horizontal="left" vertical="top"/>
    </xf>
    <xf numFmtId="0" fontId="4" fillId="4" borderId="22" xfId="0" applyFont="1" applyFill="1" applyBorder="1" applyAlignment="1">
      <alignment horizontal="left" vertical="top" wrapText="1"/>
    </xf>
    <xf numFmtId="0" fontId="4" fillId="4" borderId="21" xfId="0" applyFont="1" applyFill="1" applyBorder="1" applyAlignment="1">
      <alignment horizontal="left" vertical="top" wrapText="1"/>
    </xf>
    <xf numFmtId="0" fontId="4" fillId="4" borderId="36" xfId="0" applyFont="1" applyFill="1" applyBorder="1" applyAlignment="1">
      <alignment horizontal="left" vertical="top" wrapText="1" indent="2"/>
    </xf>
    <xf numFmtId="0" fontId="4" fillId="4" borderId="22" xfId="0" applyFont="1" applyFill="1" applyBorder="1" applyAlignment="1">
      <alignment horizontal="left" vertical="top" wrapText="1" indent="2"/>
    </xf>
    <xf numFmtId="43" fontId="5" fillId="0" borderId="24" xfId="1" applyFont="1" applyFill="1" applyBorder="1" applyAlignment="1">
      <alignment horizontal="center" vertical="top" wrapText="1"/>
    </xf>
    <xf numFmtId="43" fontId="5" fillId="0" borderId="29" xfId="1" applyFont="1" applyFill="1" applyBorder="1" applyAlignment="1">
      <alignment horizontal="center" vertical="top" wrapText="1"/>
    </xf>
    <xf numFmtId="0" fontId="5" fillId="0" borderId="67"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5" fillId="0" borderId="57" xfId="0" applyFont="1" applyBorder="1" applyAlignment="1">
      <alignment horizontal="center" vertical="top" wrapText="1"/>
    </xf>
    <xf numFmtId="0" fontId="5" fillId="0" borderId="19" xfId="0" applyFont="1" applyBorder="1" applyAlignment="1">
      <alignment horizontal="center" vertical="top" wrapText="1"/>
    </xf>
    <xf numFmtId="0" fontId="5" fillId="0" borderId="39" xfId="0" applyFont="1" applyBorder="1" applyAlignment="1">
      <alignment horizontal="center" vertical="top" wrapText="1"/>
    </xf>
    <xf numFmtId="0" fontId="8" fillId="0" borderId="36" xfId="0" applyFont="1" applyBorder="1" applyAlignment="1">
      <alignment horizontal="justify" vertical="top" wrapText="1"/>
    </xf>
    <xf numFmtId="0" fontId="8" fillId="0" borderId="0" xfId="0" applyFont="1" applyAlignment="1">
      <alignment horizontal="justify" vertical="top" wrapText="1"/>
    </xf>
    <xf numFmtId="0" fontId="8" fillId="0" borderId="5" xfId="0" applyFont="1" applyBorder="1" applyAlignment="1">
      <alignment horizontal="justify" vertical="top" wrapText="1"/>
    </xf>
    <xf numFmtId="0" fontId="3" fillId="0" borderId="18" xfId="0" applyFont="1" applyBorder="1" applyAlignment="1">
      <alignment horizontal="left" vertical="top" wrapText="1"/>
    </xf>
    <xf numFmtId="0" fontId="5" fillId="0" borderId="23" xfId="0" applyFont="1" applyBorder="1" applyAlignment="1">
      <alignment horizontal="center" vertical="top"/>
    </xf>
    <xf numFmtId="0" fontId="5" fillId="0" borderId="13" xfId="0" applyFont="1" applyBorder="1" applyAlignment="1">
      <alignment horizontal="center" vertical="top"/>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0" fontId="3" fillId="0" borderId="22" xfId="0" applyFont="1" applyBorder="1" applyAlignment="1">
      <alignment horizontal="left" vertical="top" wrapText="1"/>
    </xf>
    <xf numFmtId="0" fontId="3" fillId="0" borderId="21" xfId="0" applyFont="1" applyBorder="1" applyAlignment="1">
      <alignment horizontal="left" vertical="top" wrapText="1"/>
    </xf>
    <xf numFmtId="0" fontId="4" fillId="4" borderId="57" xfId="0" applyFont="1" applyFill="1" applyBorder="1" applyAlignment="1">
      <alignment horizontal="justify" vertical="top" wrapText="1"/>
    </xf>
    <xf numFmtId="0" fontId="4" fillId="4" borderId="19" xfId="0" applyFont="1" applyFill="1" applyBorder="1" applyAlignment="1">
      <alignment horizontal="justify" vertical="top" wrapText="1"/>
    </xf>
    <xf numFmtId="0" fontId="4" fillId="4" borderId="39" xfId="0" applyFont="1" applyFill="1" applyBorder="1" applyAlignment="1">
      <alignment horizontal="justify" vertical="top" wrapText="1"/>
    </xf>
    <xf numFmtId="0" fontId="14" fillId="0" borderId="36" xfId="0" applyFont="1" applyBorder="1" applyAlignment="1">
      <alignment horizontal="left" vertical="top" wrapText="1"/>
    </xf>
    <xf numFmtId="0" fontId="14" fillId="0" borderId="22" xfId="0" applyFont="1" applyBorder="1" applyAlignment="1">
      <alignment horizontal="left" vertical="top" wrapText="1"/>
    </xf>
    <xf numFmtId="43" fontId="5" fillId="0" borderId="1" xfId="1" applyFont="1" applyFill="1" applyBorder="1" applyAlignment="1">
      <alignment horizontal="left" vertical="top" wrapText="1"/>
    </xf>
    <xf numFmtId="43" fontId="5" fillId="0" borderId="30" xfId="1" applyFont="1" applyFill="1" applyBorder="1" applyAlignment="1">
      <alignment horizontal="left" vertical="top" wrapText="1"/>
    </xf>
    <xf numFmtId="0" fontId="5" fillId="0" borderId="25" xfId="0" applyFont="1" applyBorder="1" applyAlignment="1">
      <alignment horizontal="center" vertical="top" wrapText="1"/>
    </xf>
    <xf numFmtId="0" fontId="5" fillId="0" borderId="20" xfId="0" applyFont="1" applyBorder="1" applyAlignment="1">
      <alignment horizontal="center" vertical="top" wrapText="1"/>
    </xf>
    <xf numFmtId="0" fontId="4" fillId="0" borderId="36" xfId="5" applyBorder="1" applyAlignment="1">
      <alignment horizontal="justify" vertical="top" wrapText="1"/>
    </xf>
    <xf numFmtId="0" fontId="4" fillId="0" borderId="0" xfId="5" applyAlignment="1">
      <alignment horizontal="justify" vertical="top" wrapText="1"/>
    </xf>
    <xf numFmtId="0" fontId="4" fillId="0" borderId="5" xfId="5" applyBorder="1" applyAlignment="1">
      <alignment horizontal="justify" vertical="top" wrapText="1"/>
    </xf>
    <xf numFmtId="0" fontId="4" fillId="0" borderId="14" xfId="10" applyBorder="1" applyAlignment="1">
      <alignment horizontal="left" vertical="top" wrapText="1"/>
    </xf>
    <xf numFmtId="0" fontId="4" fillId="0" borderId="17" xfId="10" applyBorder="1" applyAlignment="1">
      <alignment horizontal="left" vertical="top" wrapText="1"/>
    </xf>
    <xf numFmtId="0" fontId="4" fillId="0" borderId="0" xfId="10" applyAlignment="1">
      <alignment horizontal="left" vertical="top" wrapText="1"/>
    </xf>
    <xf numFmtId="0" fontId="4" fillId="0" borderId="5" xfId="10" applyBorder="1" applyAlignment="1">
      <alignment horizontal="left" vertical="top" wrapText="1"/>
    </xf>
    <xf numFmtId="0" fontId="4" fillId="0" borderId="36" xfId="10" applyBorder="1" applyAlignment="1">
      <alignment horizontal="left" vertical="top" wrapText="1"/>
    </xf>
    <xf numFmtId="0" fontId="11" fillId="0" borderId="15" xfId="0" applyFont="1" applyBorder="1" applyAlignment="1">
      <alignment horizontal="left" vertical="top" wrapText="1"/>
    </xf>
    <xf numFmtId="0" fontId="11" fillId="0" borderId="20" xfId="0" applyFont="1" applyBorder="1" applyAlignment="1">
      <alignment horizontal="left" vertical="top" wrapText="1"/>
    </xf>
    <xf numFmtId="0" fontId="11" fillId="0" borderId="7" xfId="0" applyFont="1" applyBorder="1" applyAlignment="1">
      <alignment horizontal="center" vertical="top" wrapText="1"/>
    </xf>
    <xf numFmtId="0" fontId="11" fillId="0" borderId="23" xfId="0" applyFont="1" applyBorder="1" applyAlignment="1">
      <alignment horizontal="center" vertical="top" wrapText="1"/>
    </xf>
    <xf numFmtId="0" fontId="5" fillId="0" borderId="52" xfId="5" applyFont="1" applyBorder="1" applyAlignment="1">
      <alignment horizontal="center" vertical="top"/>
    </xf>
    <xf numFmtId="0" fontId="5" fillId="0" borderId="61" xfId="5" applyFont="1" applyBorder="1" applyAlignment="1">
      <alignment horizontal="center" vertical="top"/>
    </xf>
    <xf numFmtId="0" fontId="5" fillId="0" borderId="54" xfId="5" applyFont="1" applyBorder="1" applyAlignment="1">
      <alignment horizontal="center" vertical="top"/>
    </xf>
    <xf numFmtId="0" fontId="5" fillId="0" borderId="26" xfId="5" applyFont="1" applyBorder="1" applyAlignment="1">
      <alignment horizontal="center" vertical="top" wrapText="1"/>
    </xf>
    <xf numFmtId="0" fontId="5" fillId="0" borderId="18" xfId="5" applyFont="1" applyBorder="1" applyAlignment="1">
      <alignment horizontal="center" vertical="top" wrapText="1"/>
    </xf>
    <xf numFmtId="0" fontId="5" fillId="0" borderId="52" xfId="5" applyFont="1" applyBorder="1" applyAlignment="1">
      <alignment horizontal="center" vertical="top" wrapText="1"/>
    </xf>
    <xf numFmtId="0" fontId="5" fillId="0" borderId="61" xfId="5" applyFont="1" applyBorder="1" applyAlignment="1">
      <alignment horizontal="center" vertical="top" wrapText="1"/>
    </xf>
    <xf numFmtId="0" fontId="5" fillId="0" borderId="53" xfId="5" applyFont="1" applyBorder="1" applyAlignment="1">
      <alignment horizontal="center" vertical="top" wrapText="1"/>
    </xf>
    <xf numFmtId="0" fontId="5" fillId="0" borderId="54" xfId="5" applyFont="1" applyBorder="1" applyAlignment="1">
      <alignment horizontal="center" vertical="top" wrapText="1"/>
    </xf>
    <xf numFmtId="0" fontId="4" fillId="0" borderId="0" xfId="5" applyAlignment="1">
      <alignment horizontal="left" vertical="top" wrapText="1"/>
    </xf>
    <xf numFmtId="0" fontId="4" fillId="0" borderId="5" xfId="5" applyBorder="1" applyAlignment="1">
      <alignment horizontal="left" vertical="top" wrapText="1"/>
    </xf>
    <xf numFmtId="0" fontId="5" fillId="0" borderId="16" xfId="5" applyFont="1" applyBorder="1" applyAlignment="1">
      <alignment horizontal="center" vertical="top" wrapText="1"/>
    </xf>
    <xf numFmtId="0" fontId="5" fillId="0" borderId="7" xfId="5" applyFont="1" applyBorder="1" applyAlignment="1">
      <alignment horizontal="center" vertical="top" wrapText="1"/>
    </xf>
    <xf numFmtId="0" fontId="5" fillId="0" borderId="8" xfId="5" applyFont="1" applyBorder="1" applyAlignment="1">
      <alignment horizontal="center" vertical="top" wrapText="1"/>
    </xf>
    <xf numFmtId="0" fontId="5" fillId="0" borderId="23" xfId="5" applyFont="1" applyBorder="1" applyAlignment="1">
      <alignment horizontal="center" vertical="top" wrapText="1"/>
    </xf>
    <xf numFmtId="0" fontId="5" fillId="0" borderId="9" xfId="5" applyFont="1" applyBorder="1" applyAlignment="1">
      <alignment horizontal="center" vertical="top" wrapText="1"/>
    </xf>
    <xf numFmtId="0" fontId="4" fillId="2" borderId="7" xfId="5" applyFill="1" applyBorder="1" applyAlignment="1">
      <alignment horizontal="left" vertical="top" wrapText="1"/>
    </xf>
    <xf numFmtId="0" fontId="4" fillId="2" borderId="8" xfId="5" applyFill="1" applyBorder="1" applyAlignment="1">
      <alignment horizontal="left" vertical="top" wrapText="1"/>
    </xf>
    <xf numFmtId="0" fontId="4" fillId="2" borderId="9" xfId="5" applyFill="1" applyBorder="1" applyAlignment="1">
      <alignment horizontal="left" vertical="top" wrapText="1"/>
    </xf>
    <xf numFmtId="0" fontId="4" fillId="0" borderId="32" xfId="5" applyBorder="1" applyAlignment="1">
      <alignment horizontal="left" vertical="center"/>
    </xf>
    <xf numFmtId="0" fontId="5" fillId="0" borderId="16" xfId="5" applyFont="1" applyBorder="1" applyAlignment="1">
      <alignment horizontal="center" vertical="top"/>
    </xf>
    <xf numFmtId="0" fontId="5" fillId="0" borderId="21" xfId="5" applyFont="1" applyBorder="1" applyAlignment="1">
      <alignment horizontal="center" vertical="top"/>
    </xf>
    <xf numFmtId="0" fontId="5" fillId="0" borderId="18" xfId="5" applyFont="1" applyBorder="1" applyAlignment="1">
      <alignment horizontal="center" vertical="top"/>
    </xf>
    <xf numFmtId="0" fontId="5" fillId="0" borderId="52" xfId="0" applyFont="1" applyBorder="1" applyAlignment="1">
      <alignment horizontal="center" vertical="top"/>
    </xf>
    <xf numFmtId="0" fontId="5" fillId="0" borderId="61" xfId="0" applyFont="1" applyBorder="1" applyAlignment="1">
      <alignment horizontal="center" vertical="top"/>
    </xf>
    <xf numFmtId="0" fontId="5" fillId="0" borderId="53" xfId="0" applyFont="1" applyBorder="1" applyAlignment="1">
      <alignment horizontal="center" vertical="top"/>
    </xf>
    <xf numFmtId="43" fontId="5" fillId="0" borderId="32" xfId="1" applyFont="1" applyFill="1" applyBorder="1" applyAlignment="1">
      <alignment horizontal="center" vertical="top" wrapText="1"/>
    </xf>
    <xf numFmtId="0" fontId="5" fillId="0" borderId="25" xfId="5" applyFont="1" applyBorder="1" applyAlignment="1">
      <alignment horizontal="center" vertical="top"/>
    </xf>
    <xf numFmtId="0" fontId="5" fillId="0" borderId="22" xfId="5" applyFont="1" applyBorder="1" applyAlignment="1">
      <alignment horizontal="center" vertical="top"/>
    </xf>
    <xf numFmtId="0" fontId="5" fillId="0" borderId="20" xfId="5" applyFont="1" applyBorder="1" applyAlignment="1">
      <alignment horizontal="center" vertical="top"/>
    </xf>
    <xf numFmtId="0" fontId="5" fillId="0" borderId="0" xfId="5" applyFont="1" applyAlignment="1">
      <alignment horizontal="center" vertical="top"/>
    </xf>
    <xf numFmtId="0" fontId="5" fillId="0" borderId="67" xfId="0" applyFont="1" applyBorder="1" applyAlignment="1">
      <alignment horizontal="center" vertical="top"/>
    </xf>
    <xf numFmtId="0" fontId="5" fillId="0" borderId="2" xfId="0" applyFont="1" applyBorder="1" applyAlignment="1">
      <alignment horizontal="center" vertical="top"/>
    </xf>
    <xf numFmtId="0" fontId="5" fillId="0" borderId="3" xfId="0" applyFont="1" applyBorder="1" applyAlignment="1">
      <alignment horizontal="center" vertical="top"/>
    </xf>
    <xf numFmtId="0" fontId="11" fillId="7" borderId="7" xfId="0" applyFont="1" applyFill="1" applyBorder="1" applyAlignment="1">
      <alignment horizontal="center" vertical="top" wrapText="1"/>
    </xf>
    <xf numFmtId="0" fontId="11" fillId="7" borderId="8" xfId="0" applyFont="1" applyFill="1" applyBorder="1" applyAlignment="1">
      <alignment horizontal="center" vertical="top" wrapText="1"/>
    </xf>
    <xf numFmtId="0" fontId="11" fillId="7" borderId="23" xfId="0" applyFont="1" applyFill="1" applyBorder="1" applyAlignment="1">
      <alignment horizontal="center" vertical="top" wrapText="1"/>
    </xf>
    <xf numFmtId="0" fontId="8" fillId="0" borderId="14" xfId="0" applyFont="1" applyBorder="1" applyAlignment="1">
      <alignment horizontal="left" vertical="top" wrapText="1"/>
    </xf>
    <xf numFmtId="0" fontId="8" fillId="0" borderId="17" xfId="0" applyFont="1" applyBorder="1" applyAlignment="1">
      <alignment horizontal="left" vertical="top" wrapText="1"/>
    </xf>
    <xf numFmtId="0" fontId="8" fillId="3" borderId="14" xfId="0" applyFont="1" applyFill="1" applyBorder="1" applyAlignment="1">
      <alignment horizontal="justify" vertical="top" wrapText="1"/>
    </xf>
    <xf numFmtId="0" fontId="8" fillId="3" borderId="17" xfId="0" applyFont="1" applyFill="1" applyBorder="1" applyAlignment="1">
      <alignment horizontal="justify" vertical="top" wrapText="1"/>
    </xf>
    <xf numFmtId="0" fontId="8" fillId="3" borderId="34" xfId="0" applyFont="1" applyFill="1" applyBorder="1" applyAlignment="1">
      <alignment horizontal="justify" vertical="top" wrapText="1"/>
    </xf>
    <xf numFmtId="0" fontId="8" fillId="0" borderId="36" xfId="0" applyFont="1" applyBorder="1" applyAlignment="1">
      <alignment horizontal="left" vertical="top" wrapText="1"/>
    </xf>
    <xf numFmtId="0" fontId="8" fillId="0" borderId="0" xfId="0" applyFont="1" applyAlignment="1">
      <alignment horizontal="left" vertical="top" wrapText="1"/>
    </xf>
    <xf numFmtId="0" fontId="5" fillId="0" borderId="57" xfId="0" applyFont="1" applyBorder="1" applyAlignment="1">
      <alignment horizontal="center" vertical="top"/>
    </xf>
    <xf numFmtId="0" fontId="5" fillId="0" borderId="19" xfId="0" applyFont="1" applyBorder="1" applyAlignment="1">
      <alignment horizontal="center" vertical="top"/>
    </xf>
    <xf numFmtId="0" fontId="5" fillId="0" borderId="39" xfId="0" applyFont="1" applyBorder="1" applyAlignment="1">
      <alignment horizontal="center" vertical="top"/>
    </xf>
    <xf numFmtId="0" fontId="8" fillId="0" borderId="22" xfId="0" applyFont="1" applyBorder="1" applyAlignment="1">
      <alignment horizontal="left" vertical="top" wrapText="1"/>
    </xf>
    <xf numFmtId="0" fontId="11" fillId="0" borderId="57" xfId="0" applyFont="1" applyBorder="1" applyAlignment="1">
      <alignment horizontal="left" vertical="top" wrapText="1"/>
    </xf>
    <xf numFmtId="0" fontId="11" fillId="0" borderId="19" xfId="0" applyFont="1" applyBorder="1" applyAlignment="1">
      <alignment horizontal="left" vertical="top" wrapText="1"/>
    </xf>
    <xf numFmtId="0" fontId="8" fillId="3" borderId="57" xfId="0" applyFont="1" applyFill="1" applyBorder="1" applyAlignment="1">
      <alignment horizontal="left" vertical="top" wrapText="1"/>
    </xf>
    <xf numFmtId="0" fontId="8" fillId="3" borderId="19" xfId="0" applyFont="1" applyFill="1" applyBorder="1" applyAlignment="1">
      <alignment horizontal="left" vertical="top" wrapText="1"/>
    </xf>
    <xf numFmtId="0" fontId="8" fillId="3" borderId="39" xfId="0" applyFont="1" applyFill="1" applyBorder="1" applyAlignment="1">
      <alignment horizontal="left" vertical="top" wrapText="1"/>
    </xf>
    <xf numFmtId="0" fontId="4" fillId="3" borderId="73" xfId="5" applyFill="1" applyBorder="1" applyAlignment="1">
      <alignment horizontal="left" vertical="top" wrapText="1"/>
    </xf>
    <xf numFmtId="0" fontId="4" fillId="3" borderId="69" xfId="5" applyFill="1" applyBorder="1" applyAlignment="1">
      <alignment horizontal="left" vertical="top" wrapText="1"/>
    </xf>
    <xf numFmtId="0" fontId="4" fillId="3" borderId="38" xfId="5" applyFill="1" applyBorder="1" applyAlignment="1">
      <alignment horizontal="left" vertical="top" wrapText="1"/>
    </xf>
    <xf numFmtId="0" fontId="4" fillId="0" borderId="42" xfId="5" applyBorder="1" applyAlignment="1">
      <alignment horizontal="justify" vertical="top" wrapText="1"/>
    </xf>
    <xf numFmtId="0" fontId="4" fillId="0" borderId="11" xfId="5" applyBorder="1" applyAlignment="1">
      <alignment horizontal="justify" vertical="top" wrapText="1"/>
    </xf>
    <xf numFmtId="0" fontId="4" fillId="0" borderId="12" xfId="5" applyBorder="1" applyAlignment="1">
      <alignment horizontal="justify" vertical="top" wrapText="1"/>
    </xf>
    <xf numFmtId="0" fontId="4" fillId="2" borderId="74" xfId="5" applyFill="1" applyBorder="1" applyAlignment="1">
      <alignment horizontal="left" vertical="top" wrapText="1"/>
    </xf>
    <xf numFmtId="0" fontId="4" fillId="2" borderId="50" xfId="5" applyFill="1" applyBorder="1" applyAlignment="1">
      <alignment horizontal="left" vertical="top" wrapText="1"/>
    </xf>
    <xf numFmtId="0" fontId="4" fillId="2" borderId="51" xfId="5" applyFill="1" applyBorder="1" applyAlignment="1">
      <alignment horizontal="left" vertical="top" wrapText="1"/>
    </xf>
    <xf numFmtId="0" fontId="8" fillId="0" borderId="22" xfId="0" applyFont="1" applyBorder="1" applyAlignment="1">
      <alignment vertical="top" wrapText="1"/>
    </xf>
    <xf numFmtId="0" fontId="8" fillId="0" borderId="57" xfId="0" applyFont="1" applyBorder="1" applyAlignment="1">
      <alignment horizontal="justify" vertical="top" wrapText="1"/>
    </xf>
    <xf numFmtId="0" fontId="8" fillId="0" borderId="19" xfId="0" applyFont="1" applyBorder="1" applyAlignment="1">
      <alignment horizontal="justify" vertical="top" wrapText="1"/>
    </xf>
    <xf numFmtId="0" fontId="11" fillId="0" borderId="22" xfId="0" applyFont="1" applyBorder="1" applyAlignment="1">
      <alignment vertical="top" wrapText="1"/>
    </xf>
    <xf numFmtId="0" fontId="11" fillId="0" borderId="20" xfId="0" applyFont="1" applyBorder="1" applyAlignment="1">
      <alignment vertical="top" wrapText="1"/>
    </xf>
    <xf numFmtId="0" fontId="11" fillId="0" borderId="0" xfId="0" applyFont="1" applyAlignment="1">
      <alignment horizontal="left" vertical="top"/>
    </xf>
    <xf numFmtId="0" fontId="8" fillId="0" borderId="0" xfId="0" applyFont="1" applyAlignment="1">
      <alignment horizontal="justify" vertical="top"/>
    </xf>
    <xf numFmtId="0" fontId="8" fillId="0" borderId="5" xfId="0" applyFont="1" applyBorder="1" applyAlignment="1">
      <alignment horizontal="justify" vertical="top"/>
    </xf>
    <xf numFmtId="0" fontId="5" fillId="0" borderId="54" xfId="0" applyFont="1" applyBorder="1" applyAlignment="1">
      <alignment horizontal="center" vertical="top"/>
    </xf>
    <xf numFmtId="0" fontId="8" fillId="0" borderId="0" xfId="0" applyFont="1" applyAlignment="1">
      <alignment vertical="top"/>
    </xf>
    <xf numFmtId="0" fontId="8" fillId="0" borderId="5" xfId="0" applyFont="1" applyBorder="1" applyAlignment="1">
      <alignment vertical="top"/>
    </xf>
    <xf numFmtId="0" fontId="24" fillId="0" borderId="7" xfId="0" applyFont="1" applyBorder="1" applyAlignment="1">
      <alignment horizontal="center" vertical="top" wrapText="1"/>
    </xf>
    <xf numFmtId="0" fontId="24" fillId="0" borderId="23" xfId="0" applyFont="1" applyBorder="1" applyAlignment="1">
      <alignment horizontal="center" vertical="top" wrapText="1"/>
    </xf>
    <xf numFmtId="0" fontId="24" fillId="0" borderId="13" xfId="0" applyFont="1" applyBorder="1" applyAlignment="1">
      <alignment horizontal="center" vertical="top" wrapText="1"/>
    </xf>
    <xf numFmtId="0" fontId="24" fillId="0" borderId="31" xfId="0" applyFont="1" applyBorder="1" applyAlignment="1">
      <alignment horizontal="center" vertical="top"/>
    </xf>
    <xf numFmtId="0" fontId="4" fillId="2" borderId="74" xfId="5" applyFill="1" applyBorder="1" applyAlignment="1">
      <alignment horizontal="justify" vertical="center" wrapText="1"/>
    </xf>
    <xf numFmtId="0" fontId="4" fillId="2" borderId="50" xfId="5" applyFill="1" applyBorder="1" applyAlignment="1">
      <alignment horizontal="justify" vertical="center" wrapText="1"/>
    </xf>
    <xf numFmtId="0" fontId="4" fillId="2" borderId="51" xfId="5" applyFill="1" applyBorder="1" applyAlignment="1">
      <alignment horizontal="justify" vertical="center" wrapText="1"/>
    </xf>
    <xf numFmtId="0" fontId="5" fillId="0" borderId="52" xfId="5" applyFont="1" applyBorder="1" applyAlignment="1">
      <alignment horizontal="center"/>
    </xf>
    <xf numFmtId="0" fontId="5" fillId="0" borderId="61" xfId="5" applyFont="1" applyBorder="1" applyAlignment="1">
      <alignment horizontal="center"/>
    </xf>
    <xf numFmtId="0" fontId="5" fillId="0" borderId="54" xfId="5" applyFont="1" applyBorder="1" applyAlignment="1">
      <alignment horizontal="center"/>
    </xf>
    <xf numFmtId="166" fontId="41" fillId="0" borderId="7" xfId="19" applyNumberFormat="1" applyFont="1" applyBorder="1" applyAlignment="1">
      <alignment horizontal="center" vertical="center"/>
    </xf>
    <xf numFmtId="166" fontId="41" fillId="0" borderId="23" xfId="19" applyNumberFormat="1" applyFont="1" applyBorder="1" applyAlignment="1">
      <alignment horizontal="center" vertical="center"/>
    </xf>
    <xf numFmtId="166" fontId="41" fillId="0" borderId="14" xfId="19" applyNumberFormat="1" applyFont="1" applyBorder="1" applyAlignment="1">
      <alignment horizontal="center" vertical="center"/>
    </xf>
    <xf numFmtId="166" fontId="41" fillId="0" borderId="17" xfId="19" applyNumberFormat="1" applyFont="1" applyBorder="1" applyAlignment="1">
      <alignment horizontal="center" vertical="center"/>
    </xf>
    <xf numFmtId="0" fontId="41" fillId="0" borderId="61" xfId="18" applyFont="1" applyBorder="1" applyAlignment="1">
      <alignment horizontal="left"/>
    </xf>
    <xf numFmtId="0" fontId="41" fillId="0" borderId="54" xfId="18" applyFont="1" applyBorder="1" applyAlignment="1">
      <alignment horizontal="left"/>
    </xf>
    <xf numFmtId="0" fontId="5" fillId="0" borderId="1" xfId="18" applyFont="1" applyBorder="1" applyAlignment="1">
      <alignment horizontal="left"/>
    </xf>
    <xf numFmtId="0" fontId="5" fillId="0" borderId="2" xfId="18" applyFont="1" applyBorder="1" applyAlignment="1">
      <alignment horizontal="left"/>
    </xf>
    <xf numFmtId="0" fontId="5" fillId="0" borderId="3" xfId="18" applyFont="1" applyBorder="1" applyAlignment="1">
      <alignment horizontal="left"/>
    </xf>
    <xf numFmtId="0" fontId="5" fillId="0" borderId="10" xfId="18" applyFont="1" applyBorder="1" applyAlignment="1">
      <alignment horizontal="left"/>
    </xf>
    <xf numFmtId="0" fontId="5" fillId="0" borderId="11" xfId="18" applyFont="1" applyBorder="1" applyAlignment="1">
      <alignment horizontal="left"/>
    </xf>
    <xf numFmtId="0" fontId="5" fillId="0" borderId="12" xfId="18" applyFont="1" applyBorder="1" applyAlignment="1">
      <alignment horizontal="left"/>
    </xf>
    <xf numFmtId="49" fontId="36" fillId="0" borderId="17" xfId="0" applyNumberFormat="1" applyFont="1" applyBorder="1" applyAlignment="1">
      <alignment horizontal="center" vertical="top" wrapText="1"/>
    </xf>
    <xf numFmtId="49" fontId="37" fillId="0" borderId="36" xfId="0" applyNumberFormat="1" applyFont="1" applyBorder="1" applyAlignment="1">
      <alignment horizontal="center" vertical="top" wrapText="1"/>
    </xf>
    <xf numFmtId="49" fontId="37" fillId="0" borderId="0" xfId="0" applyNumberFormat="1" applyFont="1" applyAlignment="1">
      <alignment horizontal="center" vertical="top" wrapText="1"/>
    </xf>
    <xf numFmtId="49" fontId="38" fillId="0" borderId="36" xfId="0" applyNumberFormat="1" applyFont="1" applyBorder="1" applyAlignment="1">
      <alignment horizontal="center" vertical="top" wrapText="1"/>
    </xf>
    <xf numFmtId="49" fontId="38" fillId="0" borderId="0" xfId="0" applyNumberFormat="1" applyFont="1" applyAlignment="1">
      <alignment horizontal="center" vertical="top" wrapText="1"/>
    </xf>
    <xf numFmtId="49" fontId="37" fillId="0" borderId="14" xfId="0" applyNumberFormat="1" applyFont="1" applyBorder="1" applyAlignment="1">
      <alignment horizontal="center" vertical="top"/>
    </xf>
    <xf numFmtId="49" fontId="37" fillId="0" borderId="17" xfId="0" applyNumberFormat="1" applyFont="1" applyBorder="1" applyAlignment="1">
      <alignment horizontal="center" vertical="top"/>
    </xf>
    <xf numFmtId="49" fontId="44" fillId="0" borderId="0" xfId="0" applyNumberFormat="1" applyFont="1" applyAlignment="1">
      <alignment vertical="top"/>
    </xf>
    <xf numFmtId="49" fontId="8" fillId="0" borderId="0" xfId="0" applyNumberFormat="1" applyFont="1" applyAlignment="1">
      <alignment vertical="top"/>
    </xf>
  </cellXfs>
  <cellStyles count="23">
    <cellStyle name="Comma" xfId="1" builtinId="3"/>
    <cellStyle name="Comma 10" xfId="21" xr:uid="{00000000-0005-0000-0000-000001000000}"/>
    <cellStyle name="Comma 2" xfId="3" xr:uid="{00000000-0005-0000-0000-000002000000}"/>
    <cellStyle name="Comma 2 2" xfId="14" xr:uid="{00000000-0005-0000-0000-000003000000}"/>
    <cellStyle name="Comma 3" xfId="13" xr:uid="{00000000-0005-0000-0000-000004000000}"/>
    <cellStyle name="Comma 3 2" xfId="15" xr:uid="{00000000-0005-0000-0000-000005000000}"/>
    <cellStyle name="Comma 4" xfId="7" xr:uid="{00000000-0005-0000-0000-000006000000}"/>
    <cellStyle name="Comma 5" xfId="16" xr:uid="{00000000-0005-0000-0000-000007000000}"/>
    <cellStyle name="Comma 6" xfId="19" xr:uid="{00000000-0005-0000-0000-000008000000}"/>
    <cellStyle name="Comma_BALANCE SHEET FHI 03-04 DEC" xfId="4" xr:uid="{00000000-0005-0000-0000-000009000000}"/>
    <cellStyle name="Hyperlink" xfId="2" builtinId="8"/>
    <cellStyle name="Hyperlink 2" xfId="8" xr:uid="{00000000-0005-0000-0000-00000D000000}"/>
    <cellStyle name="Normal" xfId="0" builtinId="0"/>
    <cellStyle name="Normal 2" xfId="5" xr:uid="{00000000-0005-0000-0000-00000F000000}"/>
    <cellStyle name="Normal 3" xfId="9" xr:uid="{00000000-0005-0000-0000-000010000000}"/>
    <cellStyle name="Normal 3 2" xfId="17" xr:uid="{00000000-0005-0000-0000-000011000000}"/>
    <cellStyle name="Normal 4" xfId="12" xr:uid="{00000000-0005-0000-0000-000012000000}"/>
    <cellStyle name="Normal 5" xfId="18" xr:uid="{00000000-0005-0000-0000-000013000000}"/>
    <cellStyle name="Normal 6" xfId="22" xr:uid="{00000000-0005-0000-0000-000014000000}"/>
    <cellStyle name="Normal_ifrs t" xfId="6" xr:uid="{00000000-0005-0000-0000-000015000000}"/>
    <cellStyle name="Normal_relaterdpart" xfId="10" xr:uid="{00000000-0005-0000-0000-000016000000}"/>
    <cellStyle name="Percent" xfId="20" builtinId="5"/>
    <cellStyle name="Percent 2" xfId="11" xr:uid="{00000000-0005-0000-0000-000018000000}"/>
  </cellStyles>
  <dxfs count="0"/>
  <tableStyles count="1" defaultTableStyle="TableStyleMedium9" defaultPivotStyle="PivotStyleLight16">
    <tableStyle name="Invisible" pivot="0" table="0" count="0" xr9:uid="{5B5934D6-3C4A-4CF0-83A1-06A1F6A16D5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opLeftCell="A3" zoomScale="90" workbookViewId="0">
      <selection activeCell="A12" sqref="A12"/>
    </sheetView>
  </sheetViews>
  <sheetFormatPr defaultColWidth="9.140625" defaultRowHeight="15"/>
  <cols>
    <col min="1" max="1" width="57.5703125" style="945" bestFit="1" customWidth="1"/>
    <col min="2" max="2" width="16.28515625" style="945" bestFit="1" customWidth="1"/>
    <col min="3" max="3" width="10" style="945" bestFit="1" customWidth="1"/>
    <col min="4" max="4" width="11.42578125" style="945" bestFit="1" customWidth="1"/>
    <col min="5" max="7" width="9.140625" style="945"/>
    <col min="8" max="9" width="9.140625" style="1089"/>
    <col min="10" max="16384" width="9.140625" style="945"/>
  </cols>
  <sheetData>
    <row r="1" spans="1:2">
      <c r="A1" s="1023"/>
    </row>
    <row r="3" spans="1:2">
      <c r="A3" s="1023"/>
    </row>
    <row r="4" spans="1:2">
      <c r="B4" s="978"/>
    </row>
    <row r="5" spans="1:2">
      <c r="B5" s="978"/>
    </row>
    <row r="6" spans="1:2">
      <c r="B6" s="1092"/>
    </row>
    <row r="7" spans="1:2">
      <c r="A7" s="1023"/>
      <c r="B7" s="1090"/>
    </row>
    <row r="9" spans="1:2">
      <c r="A9" s="1023"/>
    </row>
    <row r="10" spans="1:2">
      <c r="B10" s="978"/>
    </row>
    <row r="11" spans="1:2">
      <c r="B11" s="978"/>
    </row>
    <row r="12" spans="1:2">
      <c r="B12" s="978"/>
    </row>
    <row r="13" spans="1:2">
      <c r="B13" s="978"/>
    </row>
    <row r="14" spans="1:2">
      <c r="B14" s="1092"/>
    </row>
    <row r="15" spans="1:2">
      <c r="B15" s="1090"/>
    </row>
    <row r="16" spans="1:2">
      <c r="B16" s="1092"/>
    </row>
    <row r="17" spans="1:4">
      <c r="A17" s="1023"/>
      <c r="B17" s="1093"/>
    </row>
    <row r="18" spans="1:4">
      <c r="B18" s="978"/>
      <c r="D18" s="978"/>
    </row>
    <row r="19" spans="1:4">
      <c r="B19" s="1092"/>
    </row>
    <row r="21" spans="1:4">
      <c r="B21" s="1091"/>
    </row>
    <row r="22" spans="1:4">
      <c r="B22" s="974"/>
    </row>
  </sheetData>
  <pageMargins left="0.41" right="0.14000000000000001" top="0.89" bottom="0.74" header="0.5" footer="0.5"/>
  <pageSetup paperSize="9" orientation="portrait" horizontalDpi="360" verticalDpi="36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6"/>
  <sheetViews>
    <sheetView topLeftCell="A4" workbookViewId="0">
      <pane xSplit="1" ySplit="6" topLeftCell="B26" activePane="bottomRight" state="frozen"/>
      <selection activeCell="A4" sqref="A4"/>
      <selection pane="topRight" activeCell="B4" sqref="B4"/>
      <selection pane="bottomLeft" activeCell="A10" sqref="A10"/>
      <selection pane="bottomRight" activeCell="H34" sqref="H34"/>
    </sheetView>
  </sheetViews>
  <sheetFormatPr defaultColWidth="9.140625" defaultRowHeight="15"/>
  <cols>
    <col min="1" max="1" width="48.42578125" style="665" bestFit="1" customWidth="1"/>
    <col min="2" max="2" width="13.85546875" style="665" bestFit="1" customWidth="1"/>
    <col min="3" max="4" width="13" style="665" bestFit="1" customWidth="1"/>
    <col min="5" max="5" width="14.85546875" style="665" bestFit="1" customWidth="1"/>
    <col min="6" max="6" width="9.140625" style="665"/>
    <col min="7" max="7" width="17.28515625" style="665" bestFit="1" customWidth="1"/>
    <col min="8" max="9" width="17.28515625" style="665" customWidth="1"/>
    <col min="10" max="10" width="12.5703125" style="665" bestFit="1" customWidth="1"/>
    <col min="11" max="11" width="17.42578125" style="665" customWidth="1"/>
    <col min="12" max="12" width="10.42578125" style="665" bestFit="1" customWidth="1"/>
    <col min="13" max="16384" width="9.140625" style="666"/>
  </cols>
  <sheetData>
    <row r="1" spans="1:12" ht="15.75">
      <c r="A1" s="685"/>
      <c r="B1" s="685"/>
      <c r="C1" s="685"/>
      <c r="D1" s="1"/>
      <c r="E1" s="1"/>
    </row>
    <row r="2" spans="1:12" ht="15.75">
      <c r="A2" s="685"/>
      <c r="B2" s="685"/>
      <c r="C2" s="685"/>
      <c r="D2" s="1"/>
      <c r="E2" s="1"/>
    </row>
    <row r="3" spans="1:12">
      <c r="A3" s="686"/>
      <c r="B3" s="686"/>
      <c r="C3" s="686"/>
      <c r="D3" s="1"/>
      <c r="E3" s="1"/>
    </row>
    <row r="4" spans="1:12" ht="15.75">
      <c r="A4" s="1317" t="s">
        <v>1067</v>
      </c>
      <c r="B4" s="1317"/>
      <c r="C4" s="1317"/>
      <c r="D4" s="1"/>
      <c r="E4" s="1"/>
    </row>
    <row r="5" spans="1:12" ht="15.75">
      <c r="A5" s="1317" t="s">
        <v>875</v>
      </c>
      <c r="B5" s="1317"/>
      <c r="C5" s="1317"/>
      <c r="D5" s="1"/>
      <c r="E5" s="1"/>
    </row>
    <row r="6" spans="1:12">
      <c r="A6" s="1318" t="s">
        <v>992</v>
      </c>
      <c r="B6" s="1318"/>
      <c r="C6" s="1318"/>
      <c r="D6" s="1"/>
      <c r="E6" s="1"/>
    </row>
    <row r="7" spans="1:12">
      <c r="A7" s="1318" t="s">
        <v>1068</v>
      </c>
      <c r="B7" s="1318"/>
      <c r="C7" s="1318"/>
      <c r="D7" s="1"/>
      <c r="E7" s="1"/>
      <c r="H7" s="665" t="s">
        <v>1074</v>
      </c>
      <c r="I7" s="665" t="s">
        <v>1052</v>
      </c>
      <c r="J7" s="665" t="s">
        <v>1073</v>
      </c>
    </row>
    <row r="8" spans="1:12">
      <c r="A8" s="698" t="s">
        <v>866</v>
      </c>
      <c r="B8" s="1319" t="s">
        <v>875</v>
      </c>
      <c r="C8" s="1319"/>
      <c r="D8" s="1319"/>
      <c r="E8" s="1319"/>
      <c r="H8" s="665" t="s">
        <v>1061</v>
      </c>
      <c r="J8" s="665" t="s">
        <v>1047</v>
      </c>
      <c r="K8" s="665" t="s">
        <v>1052</v>
      </c>
      <c r="L8" s="665" t="s">
        <v>1053</v>
      </c>
    </row>
    <row r="9" spans="1:12">
      <c r="A9" s="699" t="s">
        <v>866</v>
      </c>
      <c r="B9" s="1311" t="s">
        <v>1067</v>
      </c>
      <c r="C9" s="1312"/>
      <c r="D9" s="1312"/>
      <c r="E9" s="1312"/>
    </row>
    <row r="10" spans="1:12">
      <c r="A10" s="700" t="s">
        <v>26</v>
      </c>
      <c r="B10" s="1313" t="s">
        <v>1068</v>
      </c>
      <c r="C10" s="1314"/>
      <c r="D10" s="1314"/>
      <c r="E10" s="1314"/>
    </row>
    <row r="11" spans="1:12">
      <c r="A11" s="700" t="s">
        <v>866</v>
      </c>
      <c r="B11" s="701" t="s">
        <v>1072</v>
      </c>
      <c r="C11" s="1315" t="s">
        <v>1020</v>
      </c>
      <c r="D11" s="1316"/>
      <c r="E11" s="701" t="s">
        <v>1051</v>
      </c>
    </row>
    <row r="12" spans="1:12">
      <c r="A12" s="702" t="s">
        <v>866</v>
      </c>
      <c r="B12" s="703" t="s">
        <v>823</v>
      </c>
      <c r="C12" s="704" t="s">
        <v>824</v>
      </c>
      <c r="D12" s="704" t="s">
        <v>825</v>
      </c>
      <c r="E12" s="703" t="s">
        <v>823</v>
      </c>
    </row>
    <row r="13" spans="1:12">
      <c r="A13" s="660" t="s">
        <v>876</v>
      </c>
      <c r="B13" s="688">
        <v>47400.36</v>
      </c>
      <c r="C13" s="662">
        <v>1406505</v>
      </c>
      <c r="D13" s="662">
        <v>1838487.36</v>
      </c>
      <c r="E13" s="710">
        <v>384582</v>
      </c>
      <c r="G13" s="721"/>
      <c r="H13" s="722">
        <v>20400</v>
      </c>
      <c r="I13" s="712" t="s">
        <v>1075</v>
      </c>
    </row>
    <row r="14" spans="1:12">
      <c r="A14" s="660" t="s">
        <v>879</v>
      </c>
      <c r="B14" s="692">
        <v>425500</v>
      </c>
      <c r="C14" s="662">
        <v>28512139</v>
      </c>
      <c r="D14" s="662">
        <v>28997639</v>
      </c>
      <c r="E14" s="716">
        <v>981000</v>
      </c>
      <c r="G14" s="721"/>
      <c r="H14" s="722">
        <v>90506</v>
      </c>
      <c r="I14" s="712" t="s">
        <v>1076</v>
      </c>
      <c r="J14" s="670">
        <v>5400</v>
      </c>
      <c r="K14" s="665" t="s">
        <v>979</v>
      </c>
      <c r="L14" s="667">
        <v>44664</v>
      </c>
    </row>
    <row r="15" spans="1:12" ht="45">
      <c r="A15" s="660" t="s">
        <v>880</v>
      </c>
      <c r="B15" s="692">
        <v>259604</v>
      </c>
      <c r="C15" s="662">
        <v>42094136.060000002</v>
      </c>
      <c r="D15" s="662">
        <v>41764532.060000002</v>
      </c>
      <c r="E15" s="688">
        <v>70000</v>
      </c>
      <c r="G15" s="721"/>
      <c r="H15" s="722">
        <v>11366</v>
      </c>
      <c r="I15" s="712" t="s">
        <v>1077</v>
      </c>
      <c r="J15" s="670">
        <v>17327</v>
      </c>
      <c r="K15" s="668" t="s">
        <v>1057</v>
      </c>
      <c r="L15" s="665" t="s">
        <v>1054</v>
      </c>
    </row>
    <row r="16" spans="1:12">
      <c r="A16" s="660" t="s">
        <v>877</v>
      </c>
      <c r="B16" s="705">
        <v>57147</v>
      </c>
      <c r="C16" s="706">
        <v>930496.99</v>
      </c>
      <c r="D16" s="706">
        <v>1030231.99</v>
      </c>
      <c r="E16" s="711">
        <v>156882</v>
      </c>
      <c r="G16" s="721"/>
      <c r="H16" s="722">
        <v>37880</v>
      </c>
      <c r="I16" s="712" t="s">
        <v>1078</v>
      </c>
      <c r="J16" s="671">
        <v>80826</v>
      </c>
      <c r="K16" s="665" t="s">
        <v>1059</v>
      </c>
      <c r="L16" s="665" t="s">
        <v>1054</v>
      </c>
    </row>
    <row r="17" spans="1:12">
      <c r="A17" s="674" t="s">
        <v>920</v>
      </c>
      <c r="B17" s="691">
        <v>46403</v>
      </c>
      <c r="C17" s="663">
        <v>755635.99</v>
      </c>
      <c r="D17" s="663">
        <v>836633.99</v>
      </c>
      <c r="E17" s="691">
        <v>127401</v>
      </c>
      <c r="G17" s="723">
        <f>SUM(H13:H17)</f>
        <v>384582</v>
      </c>
      <c r="H17" s="724">
        <v>224430</v>
      </c>
      <c r="I17" s="712" t="s">
        <v>1079</v>
      </c>
      <c r="J17" s="670">
        <v>12745</v>
      </c>
      <c r="K17" s="665" t="s">
        <v>850</v>
      </c>
      <c r="L17" s="667">
        <v>44660</v>
      </c>
    </row>
    <row r="18" spans="1:12">
      <c r="A18" s="674" t="s">
        <v>921</v>
      </c>
      <c r="B18" s="691">
        <v>10744</v>
      </c>
      <c r="C18" s="663">
        <v>174861</v>
      </c>
      <c r="D18" s="663">
        <v>193598</v>
      </c>
      <c r="E18" s="691">
        <v>29481</v>
      </c>
      <c r="G18" s="725">
        <f>E16</f>
        <v>156882</v>
      </c>
      <c r="H18" s="721"/>
      <c r="I18" s="714" t="s">
        <v>979</v>
      </c>
      <c r="J18" s="670">
        <v>7405</v>
      </c>
      <c r="K18" s="665" t="s">
        <v>979</v>
      </c>
      <c r="L18" s="667">
        <v>44660</v>
      </c>
    </row>
    <row r="19" spans="1:12" ht="90">
      <c r="A19" s="660" t="s">
        <v>871</v>
      </c>
      <c r="B19" s="692">
        <v>9296220</v>
      </c>
      <c r="C19" s="662">
        <v>85266289</v>
      </c>
      <c r="D19" s="662">
        <v>176340817</v>
      </c>
      <c r="E19" s="692">
        <v>100370748</v>
      </c>
      <c r="G19" s="721"/>
      <c r="H19" s="721"/>
      <c r="I19" s="715"/>
      <c r="J19" s="670">
        <v>234000</v>
      </c>
      <c r="K19" s="668" t="s">
        <v>1085</v>
      </c>
      <c r="L19" s="665" t="s">
        <v>1083</v>
      </c>
    </row>
    <row r="20" spans="1:12" ht="45">
      <c r="A20" s="660" t="s">
        <v>878</v>
      </c>
      <c r="B20" s="692">
        <v>262442</v>
      </c>
      <c r="C20" s="662">
        <v>4862577</v>
      </c>
      <c r="D20" s="662">
        <v>5405965</v>
      </c>
      <c r="E20" s="713">
        <v>805830</v>
      </c>
      <c r="G20" s="725">
        <f>E20</f>
        <v>805830</v>
      </c>
      <c r="H20" s="721"/>
      <c r="I20" s="714" t="s">
        <v>979</v>
      </c>
      <c r="J20" s="670">
        <v>1104</v>
      </c>
      <c r="K20" s="668" t="s">
        <v>1055</v>
      </c>
      <c r="L20" s="668" t="s">
        <v>1083</v>
      </c>
    </row>
    <row r="21" spans="1:12">
      <c r="A21" s="695" t="s">
        <v>842</v>
      </c>
      <c r="B21" s="696">
        <v>186900</v>
      </c>
      <c r="C21" s="662">
        <v>186900</v>
      </c>
      <c r="D21" s="661"/>
      <c r="E21" s="664"/>
      <c r="G21" s="726"/>
      <c r="H21" s="726">
        <v>95000</v>
      </c>
      <c r="I21" s="717" t="s">
        <v>1080</v>
      </c>
      <c r="J21" s="670">
        <v>3500</v>
      </c>
      <c r="K21" s="665" t="s">
        <v>996</v>
      </c>
      <c r="L21" s="667">
        <v>44687</v>
      </c>
    </row>
    <row r="22" spans="1:12" ht="90">
      <c r="A22" s="707" t="s">
        <v>826</v>
      </c>
      <c r="B22" s="708">
        <v>10440412.640000001</v>
      </c>
      <c r="C22" s="709">
        <v>163259043.05000001</v>
      </c>
      <c r="D22" s="709">
        <v>255377672.41</v>
      </c>
      <c r="E22" s="708">
        <v>102559042</v>
      </c>
      <c r="G22" s="727">
        <f>H21+H22</f>
        <v>819000</v>
      </c>
      <c r="H22" s="729">
        <v>724000</v>
      </c>
      <c r="I22" s="730" t="s">
        <v>1084</v>
      </c>
      <c r="J22" s="672">
        <v>-50000</v>
      </c>
      <c r="K22" s="673" t="s">
        <v>1060</v>
      </c>
      <c r="L22" s="667">
        <v>44639</v>
      </c>
    </row>
    <row r="23" spans="1:12" ht="105">
      <c r="A23" s="689"/>
      <c r="B23" s="661"/>
      <c r="C23" s="663"/>
      <c r="D23" s="663"/>
      <c r="E23" s="691"/>
      <c r="G23" s="719">
        <v>50000</v>
      </c>
      <c r="H23" s="718" t="s">
        <v>1081</v>
      </c>
      <c r="J23" s="670">
        <v>30000</v>
      </c>
      <c r="K23" s="665" t="s">
        <v>850</v>
      </c>
      <c r="L23" s="668" t="s">
        <v>1083</v>
      </c>
    </row>
    <row r="24" spans="1:12" ht="105">
      <c r="A24" s="689"/>
      <c r="B24" s="661"/>
      <c r="C24" s="663"/>
      <c r="D24" s="663"/>
      <c r="E24" s="691"/>
      <c r="G24" s="720">
        <v>-70000</v>
      </c>
      <c r="H24" s="673" t="s">
        <v>1082</v>
      </c>
      <c r="J24" s="670">
        <v>135000</v>
      </c>
      <c r="K24" s="665" t="s">
        <v>1058</v>
      </c>
      <c r="L24" s="667">
        <v>44664</v>
      </c>
    </row>
    <row r="25" spans="1:12">
      <c r="A25" s="689"/>
      <c r="B25" s="661"/>
      <c r="C25" s="663"/>
      <c r="D25" s="663"/>
      <c r="E25" s="691"/>
      <c r="J25" s="670">
        <v>46403</v>
      </c>
      <c r="K25" s="665" t="s">
        <v>979</v>
      </c>
      <c r="L25" s="667">
        <v>44664</v>
      </c>
    </row>
    <row r="26" spans="1:12">
      <c r="A26" s="689"/>
      <c r="B26" s="661"/>
      <c r="C26" s="663"/>
      <c r="D26" s="663"/>
      <c r="E26" s="691"/>
      <c r="J26" s="670">
        <v>10744</v>
      </c>
      <c r="K26" s="665" t="s">
        <v>979</v>
      </c>
      <c r="L26" s="667">
        <v>44664</v>
      </c>
    </row>
    <row r="27" spans="1:12">
      <c r="A27" s="689"/>
      <c r="B27" s="661"/>
      <c r="C27" s="663"/>
      <c r="D27" s="663"/>
      <c r="E27" s="691"/>
      <c r="J27" s="670">
        <v>148693</v>
      </c>
      <c r="K27" s="665" t="s">
        <v>979</v>
      </c>
      <c r="L27" s="665" t="s">
        <v>1056</v>
      </c>
    </row>
    <row r="28" spans="1:12">
      <c r="A28" s="689"/>
      <c r="B28" s="661"/>
      <c r="C28" s="663"/>
      <c r="D28" s="663"/>
      <c r="E28" s="691"/>
      <c r="J28" s="670">
        <v>113749</v>
      </c>
      <c r="K28" s="665" t="s">
        <v>979</v>
      </c>
    </row>
    <row r="29" spans="1:12">
      <c r="A29" s="689"/>
      <c r="B29" s="661"/>
      <c r="C29" s="663"/>
      <c r="D29" s="663"/>
      <c r="E29" s="691"/>
      <c r="J29" s="669"/>
    </row>
    <row r="30" spans="1:12">
      <c r="A30" s="689"/>
      <c r="B30" s="661"/>
      <c r="C30" s="663"/>
      <c r="D30" s="663"/>
      <c r="E30" s="691"/>
      <c r="H30" s="728">
        <f>SUM(H13:H29)</f>
        <v>1203582</v>
      </c>
      <c r="J30" s="728">
        <f>SUM(J13:J29)</f>
        <v>796896</v>
      </c>
    </row>
    <row r="31" spans="1:12">
      <c r="A31" s="689"/>
      <c r="B31" s="661"/>
      <c r="C31" s="663"/>
      <c r="D31" s="663"/>
      <c r="E31" s="691"/>
      <c r="J31" s="669"/>
    </row>
    <row r="32" spans="1:12">
      <c r="A32" s="689"/>
      <c r="B32" s="661"/>
      <c r="C32" s="663"/>
      <c r="D32" s="663"/>
      <c r="E32" s="691"/>
      <c r="J32" s="669"/>
    </row>
    <row r="33" spans="1:10">
      <c r="A33" s="689"/>
      <c r="B33" s="661"/>
      <c r="C33" s="663"/>
      <c r="D33" s="663"/>
      <c r="E33" s="691"/>
      <c r="J33" s="669"/>
    </row>
    <row r="34" spans="1:10">
      <c r="A34" s="689"/>
      <c r="B34" s="661"/>
      <c r="C34" s="663"/>
      <c r="D34" s="663"/>
      <c r="E34" s="691"/>
      <c r="J34" s="669"/>
    </row>
    <row r="35" spans="1:10">
      <c r="A35" s="689"/>
      <c r="B35" s="661"/>
      <c r="C35" s="663"/>
      <c r="D35" s="663"/>
      <c r="E35" s="691"/>
      <c r="J35" s="669"/>
    </row>
    <row r="36" spans="1:10">
      <c r="A36" s="689"/>
      <c r="B36" s="661"/>
      <c r="C36" s="663"/>
      <c r="D36" s="663"/>
      <c r="E36" s="691"/>
      <c r="J36" s="669"/>
    </row>
    <row r="37" spans="1:10">
      <c r="A37" s="689"/>
      <c r="B37" s="661"/>
      <c r="C37" s="663"/>
      <c r="D37" s="663"/>
      <c r="E37" s="691"/>
      <c r="J37" s="669"/>
    </row>
    <row r="38" spans="1:10">
      <c r="A38" s="689"/>
      <c r="B38" s="661"/>
      <c r="C38" s="663"/>
      <c r="D38" s="663"/>
      <c r="E38" s="691"/>
      <c r="J38" s="669"/>
    </row>
    <row r="39" spans="1:10" ht="50.25" customHeight="1">
      <c r="A39" s="689"/>
      <c r="B39" s="661"/>
      <c r="C39" s="663"/>
      <c r="D39" s="663"/>
      <c r="E39" s="691"/>
    </row>
    <row r="40" spans="1:10">
      <c r="A40" s="689"/>
      <c r="B40" s="661"/>
      <c r="C40" s="663"/>
      <c r="D40" s="663"/>
      <c r="E40" s="691"/>
      <c r="J40" s="669"/>
    </row>
    <row r="41" spans="1:10">
      <c r="A41" s="689"/>
      <c r="B41" s="661"/>
      <c r="C41" s="663"/>
      <c r="D41" s="663"/>
      <c r="E41" s="691"/>
      <c r="J41" s="669"/>
    </row>
    <row r="42" spans="1:10">
      <c r="A42" s="689"/>
      <c r="B42" s="661"/>
      <c r="C42" s="663"/>
      <c r="D42" s="663"/>
      <c r="E42" s="691"/>
      <c r="J42" s="669"/>
    </row>
    <row r="43" spans="1:10">
      <c r="A43" s="689"/>
      <c r="B43" s="661"/>
      <c r="C43" s="663"/>
      <c r="D43" s="663"/>
      <c r="E43" s="691"/>
      <c r="J43" s="669"/>
    </row>
    <row r="44" spans="1:10">
      <c r="A44" s="689"/>
      <c r="B44" s="661"/>
      <c r="C44" s="663"/>
      <c r="D44" s="663"/>
      <c r="E44" s="691"/>
      <c r="J44" s="669"/>
    </row>
    <row r="45" spans="1:10">
      <c r="A45" s="689"/>
      <c r="B45" s="661"/>
      <c r="C45" s="663"/>
      <c r="D45" s="663"/>
      <c r="E45" s="691"/>
      <c r="J45" s="669"/>
    </row>
    <row r="46" spans="1:10">
      <c r="A46" s="689"/>
      <c r="B46" s="661"/>
      <c r="C46" s="663"/>
      <c r="D46" s="663"/>
      <c r="E46" s="691"/>
      <c r="J46" s="669"/>
    </row>
    <row r="47" spans="1:10">
      <c r="A47" s="689"/>
      <c r="B47" s="661"/>
      <c r="C47" s="663"/>
      <c r="D47" s="663"/>
      <c r="E47" s="691"/>
      <c r="J47" s="669"/>
    </row>
    <row r="48" spans="1:10">
      <c r="A48" s="689"/>
      <c r="B48" s="661"/>
      <c r="C48" s="663"/>
      <c r="D48" s="663"/>
      <c r="E48" s="661"/>
      <c r="J48" s="669"/>
    </row>
    <row r="49" spans="1:10">
      <c r="A49" s="689"/>
      <c r="B49" s="661"/>
      <c r="C49" s="663"/>
      <c r="D49" s="663"/>
      <c r="E49" s="691"/>
      <c r="J49" s="669"/>
    </row>
    <row r="50" spans="1:10">
      <c r="A50" s="689"/>
      <c r="B50" s="661"/>
      <c r="C50" s="663"/>
      <c r="D50" s="663"/>
      <c r="E50" s="691"/>
      <c r="J50" s="669"/>
    </row>
    <row r="51" spans="1:10">
      <c r="A51" s="660"/>
      <c r="B51" s="692"/>
      <c r="C51" s="662"/>
      <c r="D51" s="662"/>
      <c r="E51" s="688"/>
      <c r="J51" s="669"/>
    </row>
    <row r="52" spans="1:10">
      <c r="A52" s="689"/>
      <c r="B52" s="661"/>
      <c r="C52" s="663"/>
      <c r="D52" s="663"/>
      <c r="E52" s="661"/>
      <c r="J52" s="669"/>
    </row>
    <row r="53" spans="1:10">
      <c r="A53" s="689"/>
      <c r="B53" s="661"/>
      <c r="C53" s="663"/>
      <c r="D53" s="663"/>
      <c r="E53" s="661"/>
      <c r="J53" s="669"/>
    </row>
    <row r="54" spans="1:10">
      <c r="A54" s="689"/>
      <c r="B54" s="661"/>
      <c r="C54" s="663"/>
      <c r="D54" s="663"/>
      <c r="E54" s="661"/>
      <c r="J54" s="669"/>
    </row>
    <row r="55" spans="1:10">
      <c r="A55" s="689"/>
      <c r="B55" s="691"/>
      <c r="C55" s="663"/>
      <c r="D55" s="663"/>
      <c r="E55" s="691"/>
    </row>
    <row r="56" spans="1:10">
      <c r="A56" s="689"/>
      <c r="B56" s="661"/>
      <c r="C56" s="663"/>
      <c r="D56" s="663"/>
      <c r="E56" s="661"/>
      <c r="J56" s="669"/>
    </row>
    <row r="57" spans="1:10">
      <c r="A57" s="689"/>
      <c r="B57" s="661"/>
      <c r="C57" s="663"/>
      <c r="D57" s="663"/>
      <c r="E57" s="661"/>
      <c r="J57" s="669"/>
    </row>
    <row r="58" spans="1:10">
      <c r="A58" s="689"/>
      <c r="B58" s="661"/>
      <c r="C58" s="663"/>
      <c r="D58" s="663"/>
      <c r="E58" s="661"/>
      <c r="J58" s="669"/>
    </row>
    <row r="59" spans="1:10">
      <c r="A59" s="689"/>
      <c r="B59" s="661"/>
      <c r="C59" s="663"/>
      <c r="D59" s="663"/>
      <c r="E59" s="661"/>
      <c r="J59" s="669"/>
    </row>
    <row r="60" spans="1:10">
      <c r="A60" s="689"/>
      <c r="B60" s="661"/>
      <c r="C60" s="663"/>
      <c r="D60" s="664"/>
      <c r="E60" s="690"/>
      <c r="J60" s="669"/>
    </row>
    <row r="61" spans="1:10">
      <c r="A61" s="689"/>
      <c r="B61" s="661"/>
      <c r="C61" s="663"/>
      <c r="D61" s="664"/>
      <c r="E61" s="690"/>
      <c r="J61" s="669"/>
    </row>
    <row r="62" spans="1:10">
      <c r="A62" s="689"/>
      <c r="B62" s="661"/>
      <c r="C62" s="663"/>
      <c r="D62" s="663"/>
      <c r="E62" s="661"/>
      <c r="J62" s="669"/>
    </row>
    <row r="63" spans="1:10">
      <c r="A63" s="689"/>
      <c r="B63" s="661"/>
      <c r="C63" s="663"/>
      <c r="D63" s="663"/>
      <c r="E63" s="661"/>
      <c r="J63" s="669"/>
    </row>
    <row r="64" spans="1:10">
      <c r="A64" s="689"/>
      <c r="B64" s="661"/>
      <c r="C64" s="663"/>
      <c r="D64" s="663"/>
      <c r="E64" s="661"/>
      <c r="J64" s="669"/>
    </row>
    <row r="65" spans="1:10">
      <c r="A65" s="689"/>
      <c r="B65" s="661"/>
      <c r="C65" s="663"/>
      <c r="D65" s="663"/>
      <c r="E65" s="691"/>
      <c r="J65" s="669"/>
    </row>
    <row r="66" spans="1:10">
      <c r="A66" s="689"/>
      <c r="B66" s="661"/>
      <c r="C66" s="663"/>
      <c r="D66" s="663"/>
      <c r="E66" s="661"/>
      <c r="J66" s="669"/>
    </row>
    <row r="67" spans="1:10">
      <c r="A67" s="689"/>
      <c r="B67" s="661"/>
      <c r="C67" s="663"/>
      <c r="D67" s="663"/>
      <c r="E67" s="661"/>
      <c r="J67" s="669"/>
    </row>
    <row r="68" spans="1:10">
      <c r="A68" s="689"/>
      <c r="B68" s="661"/>
      <c r="C68" s="663"/>
      <c r="D68" s="663"/>
      <c r="E68" s="690"/>
      <c r="J68" s="669"/>
    </row>
    <row r="69" spans="1:10">
      <c r="A69" s="689"/>
      <c r="B69" s="661"/>
      <c r="C69" s="663"/>
      <c r="D69" s="663"/>
      <c r="E69" s="661"/>
      <c r="J69" s="669"/>
    </row>
    <row r="70" spans="1:10">
      <c r="A70" s="689"/>
      <c r="B70" s="661"/>
      <c r="C70" s="663"/>
      <c r="D70" s="663"/>
      <c r="E70" s="661"/>
      <c r="J70" s="669"/>
    </row>
    <row r="71" spans="1:10">
      <c r="A71" s="689"/>
      <c r="B71" s="661"/>
      <c r="C71" s="663"/>
      <c r="D71" s="663"/>
      <c r="E71" s="661"/>
      <c r="J71" s="669"/>
    </row>
    <row r="72" spans="1:10">
      <c r="A72" s="689"/>
      <c r="B72" s="661"/>
      <c r="C72" s="663"/>
      <c r="D72" s="663"/>
      <c r="E72" s="661"/>
      <c r="J72" s="669"/>
    </row>
    <row r="73" spans="1:10">
      <c r="A73" s="689"/>
      <c r="B73" s="661"/>
      <c r="C73" s="663"/>
      <c r="D73" s="663"/>
      <c r="E73" s="661"/>
      <c r="J73" s="669"/>
    </row>
    <row r="74" spans="1:10">
      <c r="A74" s="689"/>
      <c r="B74" s="661"/>
      <c r="C74" s="663"/>
      <c r="D74" s="663"/>
      <c r="E74" s="661"/>
      <c r="J74" s="669"/>
    </row>
    <row r="75" spans="1:10">
      <c r="A75" s="689"/>
      <c r="B75" s="661"/>
      <c r="C75" s="663"/>
      <c r="D75" s="663"/>
      <c r="E75" s="661"/>
      <c r="J75" s="669"/>
    </row>
    <row r="76" spans="1:10">
      <c r="A76" s="689"/>
      <c r="B76" s="661"/>
      <c r="C76" s="663"/>
      <c r="D76" s="663"/>
      <c r="E76" s="661"/>
      <c r="J76" s="669"/>
    </row>
    <row r="77" spans="1:10">
      <c r="A77" s="689"/>
      <c r="B77" s="691"/>
      <c r="C77" s="663"/>
      <c r="D77" s="664"/>
      <c r="E77" s="661"/>
    </row>
    <row r="78" spans="1:10">
      <c r="A78" s="689"/>
      <c r="B78" s="693"/>
      <c r="C78" s="664"/>
      <c r="D78" s="664"/>
      <c r="E78" s="690"/>
    </row>
    <row r="79" spans="1:10">
      <c r="A79" s="689"/>
      <c r="B79" s="661"/>
      <c r="C79" s="663"/>
      <c r="D79" s="663"/>
      <c r="E79" s="661"/>
      <c r="J79" s="669"/>
    </row>
    <row r="80" spans="1:10">
      <c r="A80" s="689"/>
      <c r="B80" s="661"/>
      <c r="C80" s="663"/>
      <c r="D80" s="663"/>
      <c r="E80" s="690"/>
      <c r="J80" s="669"/>
    </row>
    <row r="81" spans="1:10">
      <c r="A81" s="689"/>
      <c r="B81" s="661"/>
      <c r="C81" s="663"/>
      <c r="D81" s="663"/>
      <c r="E81" s="661"/>
      <c r="J81" s="669"/>
    </row>
    <row r="82" spans="1:10">
      <c r="A82" s="689"/>
      <c r="B82" s="661"/>
      <c r="C82" s="663"/>
      <c r="D82" s="663"/>
      <c r="E82" s="661"/>
      <c r="J82" s="669"/>
    </row>
    <row r="83" spans="1:10">
      <c r="A83" s="689"/>
      <c r="B83" s="661"/>
      <c r="C83" s="663"/>
      <c r="D83" s="663"/>
      <c r="E83" s="661"/>
      <c r="J83" s="669"/>
    </row>
    <row r="84" spans="1:10">
      <c r="A84" s="689"/>
      <c r="B84" s="661"/>
      <c r="C84" s="663"/>
      <c r="D84" s="663"/>
      <c r="E84" s="661"/>
      <c r="J84" s="669"/>
    </row>
    <row r="85" spans="1:10">
      <c r="A85" s="689"/>
      <c r="B85" s="661"/>
      <c r="C85" s="663"/>
      <c r="D85" s="663"/>
      <c r="E85" s="661"/>
      <c r="J85" s="669"/>
    </row>
    <row r="86" spans="1:10">
      <c r="A86" s="689"/>
      <c r="B86" s="661"/>
      <c r="C86" s="663"/>
      <c r="D86" s="664"/>
      <c r="E86" s="690"/>
      <c r="J86" s="669"/>
    </row>
    <row r="87" spans="1:10">
      <c r="A87" s="689"/>
      <c r="B87" s="661"/>
      <c r="C87" s="663"/>
      <c r="D87" s="663"/>
      <c r="E87" s="661"/>
      <c r="J87" s="669"/>
    </row>
    <row r="88" spans="1:10">
      <c r="A88" s="689"/>
      <c r="B88" s="661"/>
      <c r="C88" s="663"/>
      <c r="D88" s="663"/>
      <c r="E88" s="661"/>
      <c r="J88" s="669"/>
    </row>
    <row r="89" spans="1:10">
      <c r="A89" s="689"/>
      <c r="B89" s="661"/>
      <c r="C89" s="663"/>
      <c r="D89" s="663"/>
      <c r="E89" s="661"/>
      <c r="J89" s="669"/>
    </row>
    <row r="90" spans="1:10">
      <c r="A90" s="689"/>
      <c r="B90" s="661"/>
      <c r="C90" s="663"/>
      <c r="D90" s="663"/>
      <c r="E90" s="661"/>
      <c r="J90" s="669"/>
    </row>
    <row r="91" spans="1:10">
      <c r="A91" s="689"/>
      <c r="B91" s="661"/>
      <c r="C91" s="663"/>
      <c r="D91" s="663"/>
      <c r="E91" s="661"/>
      <c r="J91" s="669"/>
    </row>
    <row r="92" spans="1:10">
      <c r="A92" s="689"/>
      <c r="B92" s="661"/>
      <c r="C92" s="663"/>
      <c r="D92" s="663"/>
      <c r="E92" s="661"/>
      <c r="J92" s="669"/>
    </row>
    <row r="93" spans="1:10">
      <c r="A93" s="689"/>
      <c r="B93" s="661"/>
      <c r="C93" s="663"/>
      <c r="D93" s="663"/>
      <c r="E93" s="661"/>
      <c r="J93" s="669"/>
    </row>
    <row r="94" spans="1:10">
      <c r="A94" s="689"/>
      <c r="B94" s="661"/>
      <c r="C94" s="663"/>
      <c r="D94" s="663"/>
      <c r="E94" s="661"/>
      <c r="J94" s="669"/>
    </row>
    <row r="95" spans="1:10">
      <c r="A95" s="694"/>
      <c r="B95" s="661"/>
      <c r="C95" s="663"/>
      <c r="D95" s="663"/>
      <c r="E95" s="661"/>
      <c r="J95" s="669"/>
    </row>
    <row r="96" spans="1:10">
      <c r="A96" s="689"/>
      <c r="B96" s="661"/>
      <c r="C96" s="663"/>
      <c r="D96" s="663"/>
      <c r="E96" s="661"/>
      <c r="J96" s="669"/>
    </row>
    <row r="97" spans="1:10">
      <c r="A97" s="689"/>
      <c r="B97" s="661"/>
      <c r="C97" s="663"/>
      <c r="D97" s="663"/>
      <c r="E97" s="661"/>
      <c r="J97" s="669"/>
    </row>
    <row r="98" spans="1:10">
      <c r="A98" s="689"/>
      <c r="B98" s="661"/>
      <c r="C98" s="663"/>
      <c r="D98" s="663"/>
      <c r="E98" s="661"/>
      <c r="J98" s="669"/>
    </row>
    <row r="99" spans="1:10">
      <c r="A99" s="689"/>
      <c r="B99" s="661"/>
      <c r="C99" s="663"/>
      <c r="D99" s="663"/>
      <c r="E99" s="690"/>
      <c r="J99" s="669"/>
    </row>
    <row r="100" spans="1:10">
      <c r="A100" s="689"/>
      <c r="B100" s="661"/>
      <c r="C100" s="663"/>
      <c r="D100" s="663"/>
      <c r="E100" s="661"/>
      <c r="J100" s="669"/>
    </row>
    <row r="101" spans="1:10">
      <c r="A101" s="689"/>
      <c r="B101" s="661"/>
      <c r="C101" s="663"/>
      <c r="D101" s="664"/>
      <c r="E101" s="690"/>
      <c r="J101" s="669"/>
    </row>
    <row r="102" spans="1:10">
      <c r="A102" s="689"/>
      <c r="B102" s="661"/>
      <c r="C102" s="663"/>
      <c r="D102" s="663"/>
      <c r="E102" s="661"/>
      <c r="J102" s="669"/>
    </row>
    <row r="103" spans="1:10">
      <c r="A103" s="689"/>
      <c r="B103" s="661"/>
      <c r="C103" s="663"/>
      <c r="D103" s="663"/>
      <c r="E103" s="661"/>
      <c r="J103" s="669"/>
    </row>
    <row r="104" spans="1:10">
      <c r="A104" s="689"/>
      <c r="B104" s="661"/>
      <c r="C104" s="663"/>
      <c r="D104" s="663"/>
      <c r="E104" s="661"/>
      <c r="J104" s="669"/>
    </row>
    <row r="105" spans="1:10">
      <c r="A105" s="689"/>
      <c r="B105" s="661"/>
      <c r="C105" s="663"/>
      <c r="D105" s="663"/>
      <c r="E105" s="661"/>
      <c r="J105" s="669"/>
    </row>
    <row r="106" spans="1:10">
      <c r="A106" s="689"/>
      <c r="B106" s="661"/>
      <c r="C106" s="663"/>
      <c r="D106" s="664"/>
      <c r="E106" s="690"/>
      <c r="J106" s="669"/>
    </row>
    <row r="107" spans="1:10">
      <c r="A107" s="689"/>
      <c r="B107" s="661"/>
      <c r="C107" s="663"/>
      <c r="D107" s="663"/>
      <c r="E107" s="661"/>
      <c r="J107" s="669"/>
    </row>
    <row r="108" spans="1:10">
      <c r="A108" s="689"/>
      <c r="B108" s="661"/>
      <c r="C108" s="663"/>
      <c r="D108" s="663"/>
      <c r="E108" s="661"/>
      <c r="J108" s="669"/>
    </row>
    <row r="109" spans="1:10">
      <c r="A109" s="689"/>
      <c r="B109" s="661"/>
      <c r="C109" s="663"/>
      <c r="D109" s="663"/>
      <c r="E109" s="661"/>
      <c r="J109" s="669"/>
    </row>
    <row r="110" spans="1:10">
      <c r="A110" s="689"/>
      <c r="B110" s="661"/>
      <c r="C110" s="663"/>
      <c r="D110" s="663"/>
      <c r="E110" s="661"/>
      <c r="J110" s="669"/>
    </row>
    <row r="111" spans="1:10">
      <c r="A111" s="689"/>
      <c r="B111" s="661"/>
      <c r="C111" s="663"/>
      <c r="D111" s="663"/>
      <c r="E111" s="661"/>
      <c r="J111" s="669"/>
    </row>
    <row r="112" spans="1:10">
      <c r="A112" s="689"/>
      <c r="B112" s="661"/>
      <c r="C112" s="663"/>
      <c r="D112" s="663"/>
      <c r="E112" s="661"/>
      <c r="J112" s="669"/>
    </row>
    <row r="113" spans="1:10">
      <c r="A113" s="689"/>
      <c r="B113" s="661"/>
      <c r="C113" s="663"/>
      <c r="D113" s="663"/>
      <c r="E113" s="691"/>
      <c r="J113" s="669"/>
    </row>
    <row r="114" spans="1:10">
      <c r="A114" s="689"/>
      <c r="B114" s="661"/>
      <c r="C114" s="663"/>
      <c r="D114" s="663"/>
      <c r="E114" s="661"/>
      <c r="J114" s="669"/>
    </row>
    <row r="115" spans="1:10">
      <c r="A115" s="689"/>
      <c r="B115" s="661"/>
      <c r="C115" s="663"/>
      <c r="D115" s="663"/>
      <c r="E115" s="661"/>
      <c r="J115" s="669"/>
    </row>
    <row r="116" spans="1:10">
      <c r="A116" s="689"/>
      <c r="B116" s="661"/>
      <c r="C116" s="663"/>
      <c r="D116" s="663"/>
      <c r="E116" s="661"/>
      <c r="J116" s="669"/>
    </row>
    <row r="117" spans="1:10">
      <c r="A117" s="689"/>
      <c r="B117" s="661"/>
      <c r="C117" s="663"/>
      <c r="D117" s="663"/>
      <c r="E117" s="661"/>
      <c r="J117" s="669"/>
    </row>
    <row r="118" spans="1:10">
      <c r="A118" s="689"/>
      <c r="B118" s="661"/>
      <c r="C118" s="663"/>
      <c r="D118" s="663"/>
      <c r="E118" s="661"/>
      <c r="J118" s="669"/>
    </row>
    <row r="119" spans="1:10">
      <c r="A119" s="689"/>
      <c r="B119" s="691"/>
      <c r="C119" s="664"/>
      <c r="D119" s="664"/>
      <c r="E119" s="691"/>
    </row>
    <row r="120" spans="1:10">
      <c r="A120" s="689"/>
      <c r="B120" s="661"/>
      <c r="C120" s="663"/>
      <c r="D120" s="663"/>
      <c r="E120" s="691"/>
      <c r="J120" s="669"/>
    </row>
    <row r="121" spans="1:10">
      <c r="A121" s="689"/>
      <c r="B121" s="661"/>
      <c r="C121" s="663"/>
      <c r="D121" s="663"/>
      <c r="E121" s="691"/>
      <c r="J121" s="669"/>
    </row>
    <row r="122" spans="1:10">
      <c r="A122" s="689"/>
      <c r="B122" s="661"/>
      <c r="C122" s="663"/>
      <c r="D122" s="663"/>
      <c r="E122" s="661"/>
      <c r="J122" s="669"/>
    </row>
    <row r="123" spans="1:10">
      <c r="A123" s="689"/>
      <c r="B123" s="661"/>
      <c r="C123" s="663"/>
      <c r="D123" s="663"/>
      <c r="E123" s="661"/>
      <c r="J123" s="669"/>
    </row>
    <row r="124" spans="1:10">
      <c r="A124" s="689"/>
      <c r="B124" s="661"/>
      <c r="C124" s="663"/>
      <c r="D124" s="663"/>
      <c r="E124" s="661"/>
      <c r="J124" s="669"/>
    </row>
    <row r="125" spans="1:10">
      <c r="A125" s="689"/>
      <c r="B125" s="661"/>
      <c r="C125" s="663"/>
      <c r="D125" s="663"/>
      <c r="E125" s="691"/>
      <c r="J125" s="669"/>
    </row>
    <row r="126" spans="1:10">
      <c r="A126" s="689"/>
      <c r="B126" s="661"/>
      <c r="C126" s="663"/>
      <c r="D126" s="663"/>
      <c r="E126" s="661"/>
      <c r="J126" s="669"/>
    </row>
    <row r="127" spans="1:10">
      <c r="A127" s="689"/>
      <c r="B127" s="661"/>
      <c r="C127" s="663"/>
      <c r="D127" s="663"/>
      <c r="E127" s="661"/>
      <c r="J127" s="669"/>
    </row>
    <row r="128" spans="1:10">
      <c r="A128" s="689"/>
      <c r="B128" s="691"/>
      <c r="C128" s="663"/>
      <c r="D128" s="663"/>
      <c r="E128" s="690"/>
    </row>
    <row r="129" spans="1:5">
      <c r="A129" s="689"/>
      <c r="B129" s="661"/>
      <c r="C129" s="663"/>
      <c r="D129" s="663"/>
      <c r="E129" s="661"/>
    </row>
    <row r="130" spans="1:5">
      <c r="A130" s="689"/>
      <c r="B130" s="661"/>
      <c r="C130" s="663"/>
      <c r="D130" s="663"/>
      <c r="E130" s="691"/>
    </row>
    <row r="131" spans="1:5">
      <c r="A131" s="689"/>
      <c r="B131" s="661"/>
      <c r="C131" s="663"/>
      <c r="D131" s="663"/>
      <c r="E131" s="661"/>
    </row>
    <row r="132" spans="1:5">
      <c r="A132" s="689"/>
      <c r="B132" s="661"/>
      <c r="C132" s="663"/>
      <c r="D132" s="663"/>
      <c r="E132" s="661"/>
    </row>
    <row r="133" spans="1:5">
      <c r="A133" s="689"/>
      <c r="B133" s="661"/>
      <c r="C133" s="663"/>
      <c r="D133" s="663"/>
      <c r="E133" s="661"/>
    </row>
    <row r="134" spans="1:5">
      <c r="A134" s="689"/>
      <c r="B134" s="661"/>
      <c r="C134" s="663"/>
      <c r="D134" s="663"/>
      <c r="E134" s="661"/>
    </row>
    <row r="135" spans="1:5">
      <c r="A135" s="689"/>
      <c r="B135" s="661"/>
      <c r="C135" s="663"/>
      <c r="D135" s="663"/>
      <c r="E135" s="691"/>
    </row>
    <row r="136" spans="1:5">
      <c r="A136" s="689"/>
      <c r="B136" s="661"/>
      <c r="C136" s="663"/>
      <c r="D136" s="663"/>
      <c r="E136" s="661"/>
    </row>
    <row r="137" spans="1:5">
      <c r="A137" s="689"/>
      <c r="B137" s="661"/>
      <c r="C137" s="663"/>
      <c r="D137" s="663"/>
      <c r="E137" s="661"/>
    </row>
    <row r="138" spans="1:5">
      <c r="A138" s="660"/>
      <c r="B138" s="692"/>
      <c r="C138" s="662"/>
      <c r="D138" s="662"/>
      <c r="E138" s="692"/>
    </row>
    <row r="139" spans="1:5">
      <c r="A139" s="689"/>
      <c r="B139" s="691"/>
      <c r="C139" s="663"/>
      <c r="D139" s="663"/>
      <c r="E139" s="690"/>
    </row>
    <row r="140" spans="1:5">
      <c r="A140" s="689"/>
      <c r="B140" s="691"/>
      <c r="C140" s="663"/>
      <c r="D140" s="663"/>
      <c r="E140" s="691"/>
    </row>
    <row r="141" spans="1:5">
      <c r="A141" s="660"/>
      <c r="B141" s="692"/>
      <c r="C141" s="662"/>
      <c r="D141" s="662"/>
      <c r="E141" s="692"/>
    </row>
    <row r="142" spans="1:5">
      <c r="A142" s="660"/>
      <c r="B142" s="692"/>
      <c r="C142" s="662"/>
      <c r="D142" s="662"/>
      <c r="E142" s="692"/>
    </row>
    <row r="143" spans="1:5">
      <c r="A143" s="689"/>
      <c r="B143" s="691"/>
      <c r="C143" s="663"/>
      <c r="D143" s="663"/>
      <c r="E143" s="691"/>
    </row>
    <row r="144" spans="1:5">
      <c r="A144" s="689"/>
      <c r="B144" s="691"/>
      <c r="C144" s="663"/>
      <c r="D144" s="663"/>
      <c r="E144" s="691"/>
    </row>
    <row r="145" spans="1:5">
      <c r="A145" s="695"/>
      <c r="B145" s="696"/>
      <c r="C145" s="662"/>
      <c r="D145" s="661"/>
      <c r="E145" s="696"/>
    </row>
    <row r="146" spans="1:5">
      <c r="A146" s="687"/>
      <c r="B146" s="692"/>
      <c r="C146" s="697"/>
      <c r="D146" s="697"/>
      <c r="E146" s="692"/>
    </row>
  </sheetData>
  <mergeCells count="8">
    <mergeCell ref="B9:E9"/>
    <mergeCell ref="B10:E10"/>
    <mergeCell ref="C11:D11"/>
    <mergeCell ref="A4:C4"/>
    <mergeCell ref="A5:C5"/>
    <mergeCell ref="A6:C6"/>
    <mergeCell ref="A7:C7"/>
    <mergeCell ref="B8:E8"/>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H44"/>
  <sheetViews>
    <sheetView showGridLines="0" showZeros="0" zoomScaleSheetLayoutView="100" workbookViewId="0">
      <selection activeCell="G15" sqref="G15"/>
    </sheetView>
  </sheetViews>
  <sheetFormatPr defaultColWidth="9.140625" defaultRowHeight="15"/>
  <cols>
    <col min="1" max="1" width="5.7109375" style="777" customWidth="1"/>
    <col min="2" max="2" width="4.5703125" style="735" customWidth="1"/>
    <col min="3" max="3" width="5.7109375" style="735" customWidth="1"/>
    <col min="4" max="4" width="42.85546875" style="735" customWidth="1"/>
    <col min="5" max="5" width="8.5703125" style="735" customWidth="1"/>
    <col min="6" max="6" width="22" style="803" bestFit="1" customWidth="1"/>
    <col min="7" max="7" width="22.7109375" style="804" customWidth="1"/>
    <col min="8" max="8" width="15.7109375" style="735" customWidth="1"/>
    <col min="9" max="16384" width="9.140625" style="735"/>
  </cols>
  <sheetData>
    <row r="1" spans="1:8" ht="15" customHeight="1" thickBot="1">
      <c r="A1" s="1327" t="s">
        <v>1246</v>
      </c>
      <c r="B1" s="1328"/>
      <c r="C1" s="1328"/>
      <c r="D1" s="1328"/>
      <c r="E1" s="1328"/>
      <c r="F1" s="1328"/>
      <c r="G1" s="1329"/>
    </row>
    <row r="2" spans="1:8" ht="15" customHeight="1" thickBot="1">
      <c r="A2" s="1336" t="s">
        <v>1247</v>
      </c>
      <c r="B2" s="1337"/>
      <c r="C2" s="1337"/>
      <c r="D2" s="1337"/>
      <c r="E2" s="1337"/>
      <c r="F2" s="1337"/>
      <c r="G2" s="1338"/>
    </row>
    <row r="3" spans="1:8" ht="15" customHeight="1" thickBot="1">
      <c r="A3" s="1333" t="s">
        <v>1248</v>
      </c>
      <c r="B3" s="1334"/>
      <c r="C3" s="1334"/>
      <c r="D3" s="1334"/>
      <c r="E3" s="1334"/>
      <c r="F3" s="1334"/>
      <c r="G3" s="1335"/>
    </row>
    <row r="4" spans="1:8" ht="15.75" customHeight="1" thickBot="1">
      <c r="A4" s="1330" t="s">
        <v>1233</v>
      </c>
      <c r="B4" s="1331"/>
      <c r="C4" s="1331"/>
      <c r="D4" s="1331"/>
      <c r="E4" s="1331"/>
      <c r="F4" s="1331"/>
      <c r="G4" s="1332"/>
    </row>
    <row r="5" spans="1:8">
      <c r="A5" s="741"/>
      <c r="B5" s="736"/>
      <c r="C5" s="736"/>
      <c r="D5" s="736"/>
      <c r="E5" s="736"/>
      <c r="F5" s="737"/>
      <c r="G5" s="738"/>
    </row>
    <row r="6" spans="1:8" ht="15.75" thickBot="1">
      <c r="A6" s="808"/>
      <c r="B6" s="739"/>
      <c r="C6" s="739"/>
      <c r="D6" s="739"/>
      <c r="E6" s="739"/>
      <c r="F6" s="1320"/>
      <c r="G6" s="1320"/>
    </row>
    <row r="7" spans="1:8" ht="30">
      <c r="A7" s="1321" t="s">
        <v>26</v>
      </c>
      <c r="B7" s="1322"/>
      <c r="C7" s="1322"/>
      <c r="D7" s="1323"/>
      <c r="E7" s="742" t="s">
        <v>4</v>
      </c>
      <c r="F7" s="743" t="s">
        <v>1216</v>
      </c>
      <c r="G7" s="805" t="s">
        <v>1092</v>
      </c>
      <c r="H7" s="744"/>
    </row>
    <row r="8" spans="1:8">
      <c r="A8" s="745"/>
      <c r="B8" s="746"/>
      <c r="C8" s="746"/>
      <c r="D8" s="747"/>
      <c r="E8" s="748"/>
      <c r="F8" s="749" t="s">
        <v>1148</v>
      </c>
      <c r="G8" s="806" t="s">
        <v>1148</v>
      </c>
      <c r="H8" s="744"/>
    </row>
    <row r="9" spans="1:8">
      <c r="A9" s="751" t="s">
        <v>8</v>
      </c>
      <c r="B9" s="752" t="s">
        <v>9</v>
      </c>
      <c r="C9" s="753"/>
      <c r="D9" s="754"/>
      <c r="E9" s="755"/>
      <c r="F9" s="756"/>
      <c r="G9" s="757"/>
    </row>
    <row r="10" spans="1:8">
      <c r="A10" s="809"/>
      <c r="B10" s="760"/>
      <c r="D10" s="761"/>
      <c r="E10" s="762"/>
      <c r="F10" s="763"/>
      <c r="G10" s="764"/>
    </row>
    <row r="11" spans="1:8">
      <c r="A11" s="809">
        <v>1</v>
      </c>
      <c r="B11" s="760" t="s">
        <v>10</v>
      </c>
      <c r="C11" s="759"/>
      <c r="D11" s="761"/>
      <c r="E11" s="762"/>
      <c r="F11" s="763"/>
      <c r="G11" s="766"/>
    </row>
    <row r="12" spans="1:8">
      <c r="A12" s="809"/>
      <c r="B12" s="768" t="s">
        <v>11</v>
      </c>
      <c r="D12" s="761"/>
      <c r="E12" s="769">
        <v>1</v>
      </c>
      <c r="F12" s="772"/>
      <c r="G12" s="778"/>
    </row>
    <row r="13" spans="1:8">
      <c r="A13" s="809"/>
      <c r="B13" s="768"/>
      <c r="D13" s="761"/>
      <c r="E13" s="769"/>
      <c r="F13" s="772"/>
      <c r="G13" s="778"/>
    </row>
    <row r="14" spans="1:8">
      <c r="A14" s="809">
        <v>2</v>
      </c>
      <c r="B14" s="760" t="s">
        <v>1090</v>
      </c>
      <c r="D14" s="761"/>
      <c r="E14" s="769">
        <v>2</v>
      </c>
      <c r="F14" s="1053"/>
      <c r="G14" s="778"/>
    </row>
    <row r="15" spans="1:8">
      <c r="A15" s="809"/>
      <c r="B15" s="760"/>
      <c r="C15" s="759"/>
      <c r="D15" s="761"/>
      <c r="E15" s="762"/>
      <c r="F15" s="772"/>
      <c r="G15" s="778"/>
    </row>
    <row r="16" spans="1:8">
      <c r="A16" s="809">
        <v>3</v>
      </c>
      <c r="B16" s="760" t="s">
        <v>13</v>
      </c>
      <c r="C16" s="759"/>
      <c r="D16" s="761"/>
      <c r="E16" s="762"/>
      <c r="F16" s="772"/>
      <c r="G16" s="778"/>
      <c r="H16" s="773"/>
    </row>
    <row r="17" spans="1:8">
      <c r="A17" s="809"/>
      <c r="B17" s="760"/>
      <c r="C17" s="759"/>
      <c r="D17" s="761"/>
      <c r="E17" s="762"/>
      <c r="F17" s="772"/>
      <c r="G17" s="778"/>
    </row>
    <row r="18" spans="1:8">
      <c r="A18" s="809">
        <v>4</v>
      </c>
      <c r="B18" s="760" t="s">
        <v>14</v>
      </c>
      <c r="C18" s="759"/>
      <c r="D18" s="761"/>
      <c r="E18" s="762">
        <v>3</v>
      </c>
      <c r="F18" s="772"/>
      <c r="G18" s="778"/>
      <c r="H18" s="767"/>
    </row>
    <row r="19" spans="1:8">
      <c r="A19" s="809"/>
      <c r="B19" s="774"/>
      <c r="D19" s="761"/>
      <c r="E19" s="762"/>
      <c r="F19" s="772"/>
      <c r="G19" s="778"/>
      <c r="H19" s="773"/>
    </row>
    <row r="20" spans="1:8" ht="15.75" thickBot="1">
      <c r="A20" s="809"/>
      <c r="B20" s="774"/>
      <c r="D20" s="775" t="s">
        <v>15</v>
      </c>
      <c r="E20" s="762"/>
      <c r="F20" s="807">
        <f>SUM(F12:F19)</f>
        <v>0</v>
      </c>
      <c r="G20" s="1054">
        <f>SUM(G12:G19)</f>
        <v>0</v>
      </c>
    </row>
    <row r="21" spans="1:8">
      <c r="A21" s="809"/>
      <c r="B21" s="774"/>
      <c r="D21" s="761"/>
      <c r="E21" s="762"/>
      <c r="F21" s="763"/>
      <c r="G21" s="766"/>
    </row>
    <row r="22" spans="1:8">
      <c r="A22" s="776" t="s">
        <v>16</v>
      </c>
      <c r="B22" s="760" t="s">
        <v>17</v>
      </c>
      <c r="C22" s="777"/>
      <c r="D22" s="761"/>
      <c r="E22" s="762"/>
      <c r="F22" s="763"/>
      <c r="G22" s="766"/>
    </row>
    <row r="23" spans="1:8">
      <c r="A23" s="776"/>
      <c r="B23" s="760"/>
      <c r="C23" s="777"/>
      <c r="D23" s="761"/>
      <c r="E23" s="762"/>
      <c r="F23" s="763"/>
      <c r="G23" s="766"/>
    </row>
    <row r="24" spans="1:8">
      <c r="A24" s="809">
        <v>1</v>
      </c>
      <c r="B24" s="760" t="s">
        <v>1126</v>
      </c>
      <c r="C24" s="777"/>
      <c r="D24" s="761"/>
      <c r="E24" s="762" t="s">
        <v>1207</v>
      </c>
      <c r="F24" s="772"/>
      <c r="G24" s="1049"/>
      <c r="H24" s="773"/>
    </row>
    <row r="25" spans="1:8">
      <c r="A25" s="809"/>
      <c r="B25" s="760"/>
      <c r="C25" s="777"/>
      <c r="D25" s="761"/>
      <c r="E25" s="762"/>
      <c r="F25" s="772"/>
      <c r="G25" s="1049"/>
      <c r="H25" s="773"/>
    </row>
    <row r="26" spans="1:8">
      <c r="A26" s="809">
        <v>2</v>
      </c>
      <c r="B26" s="760" t="s">
        <v>18</v>
      </c>
      <c r="D26" s="761"/>
      <c r="E26" s="762">
        <v>4</v>
      </c>
      <c r="F26" s="772"/>
      <c r="G26" s="778"/>
    </row>
    <row r="27" spans="1:8">
      <c r="A27" s="809"/>
      <c r="B27" s="768"/>
      <c r="D27" s="761"/>
      <c r="E27" s="762"/>
      <c r="F27" s="772"/>
      <c r="G27" s="778"/>
    </row>
    <row r="28" spans="1:8">
      <c r="A28" s="809">
        <v>3</v>
      </c>
      <c r="B28" s="760" t="s">
        <v>19</v>
      </c>
      <c r="C28" s="759"/>
      <c r="D28" s="761"/>
      <c r="E28" s="762">
        <v>5</v>
      </c>
      <c r="F28" s="772"/>
      <c r="G28" s="778"/>
    </row>
    <row r="29" spans="1:8">
      <c r="A29" s="809"/>
      <c r="B29" s="768"/>
      <c r="D29" s="761"/>
      <c r="E29" s="769"/>
      <c r="F29" s="772"/>
      <c r="G29" s="778"/>
    </row>
    <row r="30" spans="1:8" ht="15.75" thickBot="1">
      <c r="A30" s="809"/>
      <c r="B30" s="774"/>
      <c r="D30" s="775" t="s">
        <v>15</v>
      </c>
      <c r="E30" s="762"/>
      <c r="F30" s="807">
        <f>SUM(F24:F29)</f>
        <v>0</v>
      </c>
      <c r="G30" s="1054">
        <f>SUM(G24:G29)</f>
        <v>0</v>
      </c>
      <c r="H30" s="773"/>
    </row>
    <row r="31" spans="1:8" ht="37.5" customHeight="1" thickBot="1">
      <c r="A31" s="810"/>
      <c r="B31" s="1324" t="s">
        <v>776</v>
      </c>
      <c r="C31" s="1325"/>
      <c r="D31" s="1326"/>
      <c r="E31" s="779"/>
      <c r="F31" s="1286">
        <f>F20-F30</f>
        <v>0</v>
      </c>
      <c r="G31" s="780"/>
      <c r="H31" s="773"/>
    </row>
    <row r="32" spans="1:8">
      <c r="A32" s="852" t="s">
        <v>839</v>
      </c>
      <c r="E32" s="777"/>
      <c r="F32" s="781"/>
      <c r="G32" s="782"/>
    </row>
    <row r="33" spans="1:8" ht="18" customHeight="1">
      <c r="A33" s="853" t="s">
        <v>1251</v>
      </c>
      <c r="B33" s="784"/>
      <c r="C33" s="784"/>
      <c r="E33" s="785" t="s">
        <v>20</v>
      </c>
      <c r="F33" s="781"/>
      <c r="G33" s="782"/>
      <c r="H33" s="786"/>
    </row>
    <row r="34" spans="1:8">
      <c r="A34" s="850" t="s">
        <v>21</v>
      </c>
      <c r="B34" s="784"/>
      <c r="C34" s="784"/>
      <c r="E34" s="787" t="s">
        <v>1256</v>
      </c>
      <c r="F34" s="788"/>
      <c r="G34" s="782"/>
      <c r="H34" s="789"/>
    </row>
    <row r="35" spans="1:8">
      <c r="A35" s="850" t="s">
        <v>1252</v>
      </c>
      <c r="B35" s="784"/>
      <c r="C35" s="784"/>
      <c r="E35" s="787"/>
      <c r="F35" s="788"/>
      <c r="G35" s="782"/>
      <c r="H35" s="789"/>
    </row>
    <row r="36" spans="1:8">
      <c r="A36" s="811"/>
      <c r="B36" s="784"/>
      <c r="C36" s="784"/>
      <c r="E36" s="786"/>
      <c r="F36" s="788"/>
      <c r="G36" s="782"/>
      <c r="H36" s="789"/>
    </row>
    <row r="37" spans="1:8">
      <c r="A37" s="811"/>
      <c r="B37" s="784"/>
      <c r="C37" s="784"/>
      <c r="E37" s="786"/>
      <c r="F37" s="788"/>
      <c r="G37" s="782"/>
      <c r="H37" s="789"/>
    </row>
    <row r="38" spans="1:8">
      <c r="A38" s="812"/>
      <c r="B38" s="784"/>
      <c r="C38" s="784"/>
      <c r="E38" s="777"/>
      <c r="F38" s="788"/>
      <c r="G38" s="782"/>
      <c r="H38" s="789"/>
    </row>
    <row r="39" spans="1:8">
      <c r="A39" s="793"/>
      <c r="B39" s="784"/>
      <c r="C39" s="784"/>
      <c r="E39" s="759"/>
      <c r="F39" s="1122"/>
      <c r="G39" s="1184"/>
      <c r="H39" s="759"/>
    </row>
    <row r="40" spans="1:8" ht="12.75" customHeight="1">
      <c r="A40" s="793" t="s">
        <v>24</v>
      </c>
      <c r="B40" s="787"/>
      <c r="C40" s="787"/>
      <c r="E40" s="759" t="s">
        <v>832</v>
      </c>
      <c r="F40" s="1122"/>
      <c r="G40" s="794" t="s">
        <v>1088</v>
      </c>
      <c r="H40" s="759"/>
    </row>
    <row r="41" spans="1:8">
      <c r="A41" s="793" t="s">
        <v>1253</v>
      </c>
      <c r="B41" s="784"/>
      <c r="C41" s="784"/>
      <c r="E41" s="785" t="s">
        <v>1257</v>
      </c>
      <c r="F41" s="788"/>
      <c r="G41" s="782" t="s">
        <v>1257</v>
      </c>
      <c r="H41" s="759"/>
    </row>
    <row r="42" spans="1:8">
      <c r="A42" s="852" t="s">
        <v>1211</v>
      </c>
      <c r="B42" s="784"/>
      <c r="C42" s="784"/>
      <c r="E42" s="795"/>
      <c r="F42" s="788"/>
      <c r="G42" s="782"/>
      <c r="H42" s="759"/>
    </row>
    <row r="43" spans="1:8">
      <c r="A43" s="850" t="s">
        <v>1254</v>
      </c>
      <c r="B43" s="784"/>
      <c r="C43" s="784"/>
      <c r="E43" s="796" t="s">
        <v>25</v>
      </c>
      <c r="F43" s="788"/>
      <c r="G43" s="782"/>
      <c r="H43" s="759"/>
    </row>
    <row r="44" spans="1:8" ht="15.75" customHeight="1" thickBot="1">
      <c r="A44" s="851" t="s">
        <v>1255</v>
      </c>
      <c r="B44" s="798"/>
      <c r="C44" s="799"/>
      <c r="D44" s="799"/>
      <c r="E44" s="800" t="s">
        <v>25</v>
      </c>
      <c r="F44" s="801"/>
      <c r="G44" s="802"/>
      <c r="H44" s="759"/>
    </row>
  </sheetData>
  <mergeCells count="7">
    <mergeCell ref="F6:G6"/>
    <mergeCell ref="A7:D7"/>
    <mergeCell ref="B31:D31"/>
    <mergeCell ref="A1:G1"/>
    <mergeCell ref="A4:G4"/>
    <mergeCell ref="A3:G3"/>
    <mergeCell ref="A2:G2"/>
  </mergeCells>
  <printOptions horizontalCentered="1"/>
  <pageMargins left="0.51181102362204722" right="0.51181102362204722" top="0.98425196850393704" bottom="0.51181102362204722" header="0.51181102362204722" footer="0.51181102362204722"/>
  <pageSetup paperSize="9" scale="8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H63"/>
  <sheetViews>
    <sheetView showGridLines="0" showZeros="0" zoomScaleSheetLayoutView="100" workbookViewId="0">
      <selection activeCell="A5" sqref="A5"/>
    </sheetView>
  </sheetViews>
  <sheetFormatPr defaultColWidth="9.140625" defaultRowHeight="15"/>
  <cols>
    <col min="1" max="1" width="7" style="777" customWidth="1"/>
    <col min="2" max="2" width="67.5703125" style="735" customWidth="1"/>
    <col min="3" max="3" width="8.140625" style="777" customWidth="1"/>
    <col min="4" max="4" width="18.7109375" style="848" customWidth="1"/>
    <col min="5" max="5" width="23.5703125" style="849" customWidth="1"/>
    <col min="6" max="6" width="16" style="735" bestFit="1" customWidth="1"/>
    <col min="7" max="7" width="15.28515625" style="735" bestFit="1" customWidth="1"/>
    <col min="8" max="16384" width="9.140625" style="735"/>
  </cols>
  <sheetData>
    <row r="1" spans="1:7" ht="16.5" thickBot="1">
      <c r="A1" s="1339" t="s">
        <v>1246</v>
      </c>
      <c r="B1" s="1340"/>
      <c r="C1" s="1340"/>
      <c r="D1" s="1340"/>
      <c r="E1" s="1341"/>
    </row>
    <row r="2" spans="1:7" ht="15.75" thickBot="1">
      <c r="A2" s="1333" t="s">
        <v>1247</v>
      </c>
      <c r="B2" s="1334"/>
      <c r="C2" s="1334"/>
      <c r="D2" s="1334"/>
      <c r="E2" s="1335"/>
    </row>
    <row r="3" spans="1:7" ht="15.75" thickBot="1">
      <c r="A3" s="1344" t="s">
        <v>1248</v>
      </c>
      <c r="B3" s="1345"/>
      <c r="C3" s="1345"/>
      <c r="D3" s="1345"/>
      <c r="E3" s="1346"/>
    </row>
    <row r="4" spans="1:7" ht="15.75" customHeight="1" thickBot="1">
      <c r="A4" s="1347" t="s">
        <v>1231</v>
      </c>
      <c r="B4" s="1348"/>
      <c r="C4" s="1348"/>
      <c r="D4" s="1348"/>
      <c r="E4" s="1349"/>
    </row>
    <row r="5" spans="1:7" ht="15.75" thickBot="1">
      <c r="A5" s="759"/>
      <c r="B5" s="759"/>
      <c r="C5" s="759"/>
      <c r="D5" s="792"/>
      <c r="E5" s="813"/>
    </row>
    <row r="6" spans="1:7" ht="30">
      <c r="A6" s="1321" t="s">
        <v>26</v>
      </c>
      <c r="B6" s="1323"/>
      <c r="C6" s="742" t="s">
        <v>27</v>
      </c>
      <c r="D6" s="743" t="s">
        <v>1232</v>
      </c>
      <c r="E6" s="805" t="s">
        <v>1094</v>
      </c>
    </row>
    <row r="7" spans="1:7">
      <c r="A7" s="745"/>
      <c r="B7" s="747"/>
      <c r="C7" s="748"/>
      <c r="D7" s="749" t="s">
        <v>1148</v>
      </c>
      <c r="E7" s="814" t="s">
        <v>1148</v>
      </c>
    </row>
    <row r="8" spans="1:7">
      <c r="A8" s="776" t="s">
        <v>8</v>
      </c>
      <c r="B8" s="760" t="s">
        <v>29</v>
      </c>
      <c r="C8" s="762"/>
      <c r="D8" s="772"/>
      <c r="E8" s="770"/>
    </row>
    <row r="9" spans="1:7">
      <c r="A9" s="816"/>
      <c r="B9" s="759"/>
      <c r="C9" s="762"/>
      <c r="D9" s="772"/>
      <c r="E9" s="770"/>
    </row>
    <row r="10" spans="1:7">
      <c r="A10" s="809">
        <v>1</v>
      </c>
      <c r="B10" s="735" t="s">
        <v>889</v>
      </c>
      <c r="C10" s="769">
        <v>6</v>
      </c>
      <c r="D10" s="772"/>
      <c r="E10" s="836"/>
    </row>
    <row r="11" spans="1:7">
      <c r="A11" s="809">
        <v>2</v>
      </c>
      <c r="B11" s="735" t="s">
        <v>30</v>
      </c>
      <c r="C11" s="769">
        <v>7</v>
      </c>
      <c r="D11" s="772"/>
      <c r="E11" s="836"/>
      <c r="G11" s="767"/>
    </row>
    <row r="12" spans="1:7">
      <c r="A12" s="809"/>
      <c r="B12" s="774"/>
      <c r="C12" s="769"/>
      <c r="D12" s="763"/>
      <c r="E12" s="766"/>
    </row>
    <row r="13" spans="1:7" ht="15.75" thickBot="1">
      <c r="A13" s="809">
        <v>3</v>
      </c>
      <c r="B13" s="854" t="s">
        <v>31</v>
      </c>
      <c r="C13" s="769"/>
      <c r="D13" s="818">
        <f>SUM(D10:D12)</f>
        <v>0</v>
      </c>
      <c r="E13" s="819">
        <f>SUM(E10:E12)</f>
        <v>0</v>
      </c>
      <c r="F13" s="773"/>
      <c r="G13" s="767"/>
    </row>
    <row r="14" spans="1:7">
      <c r="A14" s="809">
        <v>4</v>
      </c>
      <c r="B14" s="760" t="s">
        <v>32</v>
      </c>
      <c r="C14" s="769"/>
      <c r="D14" s="763"/>
      <c r="E14" s="766"/>
    </row>
    <row r="15" spans="1:7">
      <c r="A15" s="809"/>
      <c r="B15" s="855" t="s">
        <v>1195</v>
      </c>
      <c r="C15" s="769">
        <v>8</v>
      </c>
      <c r="D15" s="772"/>
      <c r="E15" s="778"/>
      <c r="F15" s="820"/>
      <c r="G15" s="773"/>
    </row>
    <row r="16" spans="1:7">
      <c r="A16" s="809"/>
      <c r="B16" s="855" t="s">
        <v>1095</v>
      </c>
      <c r="C16" s="769">
        <v>9</v>
      </c>
      <c r="D16" s="772"/>
      <c r="E16" s="778"/>
      <c r="F16" s="820"/>
      <c r="G16" s="773"/>
    </row>
    <row r="17" spans="1:8" ht="13.5" customHeight="1">
      <c r="A17" s="809"/>
      <c r="B17" s="855" t="s">
        <v>1250</v>
      </c>
      <c r="C17" s="769">
        <v>10</v>
      </c>
      <c r="D17" s="772"/>
      <c r="E17" s="778"/>
      <c r="F17" s="820"/>
      <c r="G17" s="773"/>
    </row>
    <row r="18" spans="1:8">
      <c r="A18" s="809"/>
      <c r="B18" s="855" t="s">
        <v>1249</v>
      </c>
      <c r="C18" s="769" t="s">
        <v>1210</v>
      </c>
      <c r="D18" s="772"/>
      <c r="E18" s="778"/>
      <c r="G18" s="773"/>
    </row>
    <row r="19" spans="1:8">
      <c r="A19" s="809"/>
      <c r="B19" s="774"/>
      <c r="C19" s="769"/>
      <c r="D19" s="763"/>
      <c r="E19" s="766"/>
      <c r="F19" s="767"/>
      <c r="G19" s="773"/>
    </row>
    <row r="20" spans="1:8" ht="15.75" thickBot="1">
      <c r="A20" s="809"/>
      <c r="B20" s="854" t="s">
        <v>1161</v>
      </c>
      <c r="C20" s="769"/>
      <c r="D20" s="818">
        <f>SUM(D15:D19)</f>
        <v>0</v>
      </c>
      <c r="E20" s="819">
        <f>SUM(E15:E19)</f>
        <v>0</v>
      </c>
      <c r="F20" s="767"/>
      <c r="G20" s="767"/>
    </row>
    <row r="21" spans="1:8">
      <c r="A21" s="809"/>
      <c r="B21" s="774"/>
      <c r="C21" s="769"/>
      <c r="D21" s="858"/>
      <c r="E21" s="766"/>
      <c r="F21" s="767"/>
    </row>
    <row r="22" spans="1:8" ht="13.15" customHeight="1">
      <c r="A22" s="809">
        <v>5</v>
      </c>
      <c r="B22" s="856" t="s">
        <v>918</v>
      </c>
      <c r="C22" s="769"/>
      <c r="D22" s="859">
        <f>+D13-D20</f>
        <v>0</v>
      </c>
      <c r="E22" s="766">
        <f>+E13-E20</f>
        <v>0</v>
      </c>
      <c r="F22" s="773"/>
      <c r="G22" s="821"/>
      <c r="H22" s="822"/>
    </row>
    <row r="23" spans="1:8">
      <c r="A23" s="809">
        <v>6</v>
      </c>
      <c r="B23" s="735" t="s">
        <v>33</v>
      </c>
      <c r="C23" s="769"/>
      <c r="D23" s="763">
        <v>0</v>
      </c>
      <c r="E23" s="766">
        <v>0</v>
      </c>
      <c r="F23" s="767"/>
    </row>
    <row r="24" spans="1:8" ht="21" customHeight="1">
      <c r="A24" s="809">
        <v>7</v>
      </c>
      <c r="B24" s="856" t="s">
        <v>1156</v>
      </c>
      <c r="C24" s="769"/>
      <c r="D24" s="860">
        <f>+D23+D22</f>
        <v>0</v>
      </c>
      <c r="E24" s="823">
        <f>+E23+E22</f>
        <v>0</v>
      </c>
      <c r="F24" s="773"/>
    </row>
    <row r="25" spans="1:8">
      <c r="A25" s="809">
        <v>8</v>
      </c>
      <c r="B25" s="735" t="s">
        <v>972</v>
      </c>
      <c r="C25" s="769"/>
      <c r="D25" s="763"/>
      <c r="E25" s="766">
        <v>0</v>
      </c>
    </row>
    <row r="26" spans="1:8">
      <c r="A26" s="809">
        <v>9</v>
      </c>
      <c r="B26" s="760" t="s">
        <v>1157</v>
      </c>
      <c r="C26" s="769"/>
      <c r="D26" s="860">
        <f>+D25+D24</f>
        <v>0</v>
      </c>
      <c r="E26" s="823">
        <f>+E25+E24</f>
        <v>0</v>
      </c>
      <c r="F26" s="824"/>
    </row>
    <row r="27" spans="1:8">
      <c r="A27" s="809">
        <v>10</v>
      </c>
      <c r="B27" s="760" t="s">
        <v>34</v>
      </c>
      <c r="C27" s="769"/>
      <c r="D27" s="763"/>
      <c r="E27" s="766"/>
    </row>
    <row r="28" spans="1:8">
      <c r="A28" s="809"/>
      <c r="B28" s="768" t="s">
        <v>827</v>
      </c>
      <c r="C28" s="769"/>
      <c r="D28" s="861">
        <v>0</v>
      </c>
      <c r="E28" s="766">
        <v>0</v>
      </c>
    </row>
    <row r="29" spans="1:8">
      <c r="A29" s="809">
        <v>11</v>
      </c>
      <c r="B29" s="856" t="s">
        <v>1158</v>
      </c>
      <c r="C29" s="769"/>
      <c r="D29" s="857">
        <f>+D28+D26</f>
        <v>0</v>
      </c>
      <c r="E29" s="825">
        <f>+E28+E26</f>
        <v>0</v>
      </c>
    </row>
    <row r="30" spans="1:8">
      <c r="A30" s="809" t="s">
        <v>16</v>
      </c>
      <c r="B30" s="760" t="s">
        <v>35</v>
      </c>
      <c r="C30" s="769"/>
      <c r="D30" s="763"/>
      <c r="E30" s="766"/>
    </row>
    <row r="31" spans="1:8">
      <c r="A31" s="809">
        <v>12</v>
      </c>
      <c r="B31" s="774" t="s">
        <v>883</v>
      </c>
      <c r="C31" s="769"/>
      <c r="D31" s="763">
        <v>0</v>
      </c>
      <c r="E31" s="766">
        <v>0</v>
      </c>
    </row>
    <row r="32" spans="1:8" ht="30">
      <c r="A32" s="809">
        <v>13</v>
      </c>
      <c r="B32" s="856" t="s">
        <v>1159</v>
      </c>
      <c r="C32" s="769"/>
      <c r="D32" s="756">
        <f>+D31</f>
        <v>0</v>
      </c>
      <c r="E32" s="826">
        <f>+E31</f>
        <v>0</v>
      </c>
    </row>
    <row r="33" spans="1:5">
      <c r="A33" s="809" t="s">
        <v>36</v>
      </c>
      <c r="B33" s="760" t="s">
        <v>37</v>
      </c>
      <c r="C33" s="862"/>
      <c r="D33" s="756"/>
      <c r="E33" s="823"/>
    </row>
    <row r="34" spans="1:5" ht="15.75" thickBot="1">
      <c r="A34" s="809">
        <v>14</v>
      </c>
      <c r="B34" s="760" t="s">
        <v>1160</v>
      </c>
      <c r="C34" s="862"/>
      <c r="D34" s="863">
        <f>+D29+D32</f>
        <v>0</v>
      </c>
      <c r="E34" s="827">
        <f>+E29+E32</f>
        <v>0</v>
      </c>
    </row>
    <row r="35" spans="1:5" ht="15.75" thickBot="1">
      <c r="A35" s="810"/>
      <c r="B35" s="828"/>
      <c r="C35" s="829"/>
      <c r="D35" s="830"/>
      <c r="E35" s="831"/>
    </row>
    <row r="36" spans="1:5" ht="16.5" customHeight="1">
      <c r="A36" s="809" t="s">
        <v>38</v>
      </c>
      <c r="B36" s="832" t="s">
        <v>840</v>
      </c>
      <c r="C36" s="817"/>
      <c r="D36" s="815"/>
      <c r="E36" s="833"/>
    </row>
    <row r="37" spans="1:5">
      <c r="A37" s="809"/>
      <c r="B37" s="834" t="s">
        <v>39</v>
      </c>
      <c r="C37" s="817"/>
      <c r="D37" s="815"/>
      <c r="E37" s="833"/>
    </row>
    <row r="38" spans="1:5">
      <c r="A38" s="809"/>
      <c r="B38" s="835" t="s">
        <v>571</v>
      </c>
      <c r="C38" s="862"/>
      <c r="D38" s="864">
        <f>+D29/10000</f>
        <v>0</v>
      </c>
      <c r="E38" s="778">
        <f>+E29/10000</f>
        <v>0</v>
      </c>
    </row>
    <row r="39" spans="1:5">
      <c r="A39" s="809"/>
      <c r="B39" s="835" t="s">
        <v>572</v>
      </c>
      <c r="C39" s="817"/>
      <c r="D39" s="864">
        <f>+D34/10000</f>
        <v>0</v>
      </c>
      <c r="E39" s="836">
        <f>+E34/10000</f>
        <v>0</v>
      </c>
    </row>
    <row r="40" spans="1:5">
      <c r="A40" s="809"/>
      <c r="B40" s="834" t="s">
        <v>40</v>
      </c>
      <c r="C40" s="817"/>
      <c r="D40" s="864"/>
      <c r="E40" s="836"/>
    </row>
    <row r="41" spans="1:5">
      <c r="A41" s="809"/>
      <c r="B41" s="835" t="s">
        <v>571</v>
      </c>
      <c r="C41" s="817"/>
      <c r="D41" s="864">
        <f>+D38</f>
        <v>0</v>
      </c>
      <c r="E41" s="836">
        <f>+E38</f>
        <v>0</v>
      </c>
    </row>
    <row r="42" spans="1:5">
      <c r="A42" s="809"/>
      <c r="B42" s="835" t="s">
        <v>572</v>
      </c>
      <c r="C42" s="817"/>
      <c r="D42" s="864">
        <f>+D39</f>
        <v>0</v>
      </c>
      <c r="E42" s="836">
        <f>+E39</f>
        <v>0</v>
      </c>
    </row>
    <row r="43" spans="1:5" ht="13.15" customHeight="1">
      <c r="A43" s="809" t="s">
        <v>42</v>
      </c>
      <c r="B43" s="832" t="s">
        <v>841</v>
      </c>
      <c r="C43" s="817"/>
      <c r="D43" s="864"/>
      <c r="E43" s="836"/>
    </row>
    <row r="44" spans="1:5">
      <c r="A44" s="809"/>
      <c r="B44" s="834" t="s">
        <v>39</v>
      </c>
      <c r="C44" s="817"/>
      <c r="D44" s="864"/>
      <c r="E44" s="836"/>
    </row>
    <row r="45" spans="1:5">
      <c r="A45" s="809"/>
      <c r="B45" s="835" t="s">
        <v>571</v>
      </c>
      <c r="C45" s="817"/>
      <c r="D45" s="864">
        <f>+D38</f>
        <v>0</v>
      </c>
      <c r="E45" s="836">
        <f>+E38</f>
        <v>0</v>
      </c>
    </row>
    <row r="46" spans="1:5">
      <c r="A46" s="809"/>
      <c r="B46" s="835" t="s">
        <v>572</v>
      </c>
      <c r="C46" s="817"/>
      <c r="D46" s="864">
        <f>+D39</f>
        <v>0</v>
      </c>
      <c r="E46" s="836">
        <f>+E39</f>
        <v>0</v>
      </c>
    </row>
    <row r="47" spans="1:5">
      <c r="A47" s="809"/>
      <c r="B47" s="834" t="s">
        <v>40</v>
      </c>
      <c r="C47" s="817"/>
      <c r="D47" s="864"/>
      <c r="E47" s="836"/>
    </row>
    <row r="48" spans="1:5">
      <c r="A48" s="809"/>
      <c r="B48" s="835" t="s">
        <v>571</v>
      </c>
      <c r="C48" s="817"/>
      <c r="D48" s="864">
        <f>+D41</f>
        <v>0</v>
      </c>
      <c r="E48" s="836">
        <f>+E41</f>
        <v>0</v>
      </c>
    </row>
    <row r="49" spans="1:5">
      <c r="A49" s="809"/>
      <c r="B49" s="835" t="s">
        <v>572</v>
      </c>
      <c r="C49" s="817"/>
      <c r="D49" s="864">
        <f>+D42</f>
        <v>0</v>
      </c>
      <c r="E49" s="836">
        <f>+E42</f>
        <v>0</v>
      </c>
    </row>
    <row r="50" spans="1:5" ht="19.5" customHeight="1" thickBot="1">
      <c r="A50" s="810"/>
      <c r="B50" s="828" t="s">
        <v>776</v>
      </c>
      <c r="C50" s="837"/>
      <c r="D50" s="838"/>
      <c r="E50" s="839"/>
    </row>
    <row r="51" spans="1:5">
      <c r="A51" s="840" t="s">
        <v>839</v>
      </c>
      <c r="B51" s="736"/>
      <c r="C51" s="736"/>
      <c r="D51" s="736"/>
      <c r="E51" s="841"/>
    </row>
    <row r="52" spans="1:5" ht="15" customHeight="1">
      <c r="A52" s="783" t="s">
        <v>1251</v>
      </c>
      <c r="B52" s="784"/>
      <c r="C52" s="1342" t="s">
        <v>20</v>
      </c>
      <c r="D52" s="1342"/>
      <c r="E52" s="1343"/>
    </row>
    <row r="53" spans="1:5">
      <c r="A53" s="765" t="s">
        <v>21</v>
      </c>
      <c r="B53" s="784"/>
      <c r="C53" s="787" t="s">
        <v>1256</v>
      </c>
      <c r="D53" s="735"/>
      <c r="E53" s="842" t="s">
        <v>22</v>
      </c>
    </row>
    <row r="54" spans="1:5">
      <c r="A54" s="765" t="s">
        <v>1252</v>
      </c>
      <c r="B54" s="784"/>
      <c r="C54" s="784"/>
      <c r="D54" s="735"/>
      <c r="E54" s="842"/>
    </row>
    <row r="55" spans="1:5">
      <c r="A55" s="765"/>
      <c r="B55" s="784"/>
      <c r="C55" s="784"/>
      <c r="D55" s="735"/>
      <c r="E55" s="842"/>
    </row>
    <row r="56" spans="1:5">
      <c r="A56" s="765"/>
      <c r="B56" s="784"/>
      <c r="C56" s="784"/>
      <c r="D56" s="735"/>
      <c r="E56" s="842"/>
    </row>
    <row r="57" spans="1:5">
      <c r="A57" s="790"/>
      <c r="B57" s="784"/>
      <c r="C57" s="784"/>
      <c r="D57" s="735"/>
      <c r="E57" s="843"/>
    </row>
    <row r="58" spans="1:5" ht="15" customHeight="1">
      <c r="A58" s="793"/>
      <c r="B58" s="784"/>
      <c r="C58" s="759"/>
      <c r="D58" s="759"/>
      <c r="E58" s="1184"/>
    </row>
    <row r="59" spans="1:5" ht="12.75" customHeight="1">
      <c r="A59" s="793" t="s">
        <v>24</v>
      </c>
      <c r="B59" s="844"/>
      <c r="C59" s="759" t="s">
        <v>832</v>
      </c>
      <c r="D59" s="735"/>
      <c r="E59" s="794" t="s">
        <v>1088</v>
      </c>
    </row>
    <row r="60" spans="1:5">
      <c r="A60" s="793" t="s">
        <v>1253</v>
      </c>
      <c r="B60" s="784"/>
      <c r="C60" s="785" t="s">
        <v>1257</v>
      </c>
      <c r="D60" s="735"/>
      <c r="E60" s="782" t="s">
        <v>1258</v>
      </c>
    </row>
    <row r="61" spans="1:5">
      <c r="A61" s="852" t="s">
        <v>1211</v>
      </c>
      <c r="B61" s="784"/>
      <c r="C61" s="784"/>
      <c r="D61" s="735"/>
      <c r="E61" s="842"/>
    </row>
    <row r="62" spans="1:5">
      <c r="A62" s="850" t="s">
        <v>1254</v>
      </c>
      <c r="B62" s="784"/>
      <c r="C62" s="784"/>
      <c r="D62" s="735"/>
      <c r="E62" s="845" t="s">
        <v>25</v>
      </c>
    </row>
    <row r="63" spans="1:5" ht="15.75" thickBot="1">
      <c r="A63" s="851" t="s">
        <v>1255</v>
      </c>
      <c r="B63" s="798"/>
      <c r="C63" s="799"/>
      <c r="D63" s="846"/>
      <c r="E63" s="847" t="s">
        <v>25</v>
      </c>
    </row>
  </sheetData>
  <mergeCells count="6">
    <mergeCell ref="A6:B6"/>
    <mergeCell ref="A1:E1"/>
    <mergeCell ref="C52:E52"/>
    <mergeCell ref="A2:E2"/>
    <mergeCell ref="A3:E3"/>
    <mergeCell ref="A4:E4"/>
  </mergeCells>
  <printOptions horizontalCentered="1"/>
  <pageMargins left="0.51181102362204722" right="0.51181102362204722" top="0.51181102362204722" bottom="0.51181102362204722" header="0.51181102362204722" footer="0.51181102362204722"/>
  <pageSetup paperSize="9"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J71"/>
  <sheetViews>
    <sheetView showGridLines="0" showZeros="0" workbookViewId="0">
      <selection activeCell="D5" sqref="D5"/>
    </sheetView>
  </sheetViews>
  <sheetFormatPr defaultColWidth="9.140625" defaultRowHeight="15"/>
  <cols>
    <col min="1" max="1" width="55.5703125" style="735" customWidth="1"/>
    <col min="2" max="2" width="18.28515625" style="1030" customWidth="1"/>
    <col min="3" max="3" width="18.42578125" style="1030" customWidth="1"/>
    <col min="4" max="4" width="19.85546875" style="1030" customWidth="1"/>
    <col min="5" max="9" width="15.42578125" style="1038" hidden="1" customWidth="1"/>
    <col min="10" max="11" width="13.5703125" style="1038" hidden="1" customWidth="1"/>
    <col min="12" max="13" width="14.5703125" style="1038" hidden="1" customWidth="1"/>
    <col min="14" max="15" width="13.140625" style="1038" hidden="1" customWidth="1"/>
    <col min="16" max="16" width="22.85546875" style="1038" hidden="1" customWidth="1"/>
    <col min="17" max="17" width="12.85546875" style="1038" hidden="1" customWidth="1"/>
    <col min="18" max="18" width="15.140625" style="1038" hidden="1" customWidth="1"/>
    <col min="19" max="19" width="13.5703125" style="1038" hidden="1" customWidth="1"/>
    <col min="20" max="20" width="14.140625" style="735" hidden="1" customWidth="1"/>
    <col min="21" max="21" width="14.5703125" style="735" hidden="1" customWidth="1"/>
    <col min="22" max="22" width="12.85546875" style="735" hidden="1" customWidth="1"/>
    <col min="23" max="23" width="13.5703125" style="735" hidden="1" customWidth="1"/>
    <col min="24" max="28" width="12.85546875" style="735" hidden="1" customWidth="1"/>
    <col min="29" max="29" width="14.5703125" style="735" hidden="1" customWidth="1"/>
    <col min="30" max="32" width="14.28515625" style="735" hidden="1" customWidth="1"/>
    <col min="33" max="33" width="15.140625" style="735" hidden="1" customWidth="1"/>
    <col min="34" max="34" width="9.140625" style="735" hidden="1" customWidth="1"/>
    <col min="35" max="35" width="9.140625" style="735" customWidth="1"/>
    <col min="36" max="36" width="11.42578125" style="735" bestFit="1" customWidth="1"/>
    <col min="37" max="50" width="9.140625" style="735" customWidth="1"/>
    <col min="51" max="16384" width="9.140625" style="735"/>
  </cols>
  <sheetData>
    <row r="1" spans="1:33" ht="15" customHeight="1" thickBot="1">
      <c r="A1" s="1339" t="s">
        <v>1246</v>
      </c>
      <c r="B1" s="1340"/>
      <c r="C1" s="1340"/>
      <c r="D1" s="1341"/>
    </row>
    <row r="2" spans="1:33" ht="15.75" thickBot="1">
      <c r="A2" s="1355" t="s">
        <v>1247</v>
      </c>
      <c r="B2" s="1356"/>
      <c r="C2" s="1356"/>
      <c r="D2" s="1357"/>
    </row>
    <row r="3" spans="1:33" ht="15.75" thickBot="1">
      <c r="A3" s="1344" t="s">
        <v>1248</v>
      </c>
      <c r="B3" s="1345"/>
      <c r="C3" s="1345"/>
      <c r="D3" s="1346"/>
    </row>
    <row r="4" spans="1:33" ht="15.75" thickBot="1">
      <c r="A4" s="1330" t="s">
        <v>1240</v>
      </c>
      <c r="B4" s="1331"/>
      <c r="C4" s="1331"/>
      <c r="D4" s="1332"/>
    </row>
    <row r="5" spans="1:33">
      <c r="A5" s="736"/>
      <c r="B5" s="1056"/>
      <c r="C5" s="1056"/>
      <c r="D5" s="1056"/>
    </row>
    <row r="6" spans="1:33" ht="15.75" thickBot="1">
      <c r="A6" s="739"/>
      <c r="B6" s="1057"/>
      <c r="C6" s="1057"/>
      <c r="D6" s="1057"/>
    </row>
    <row r="7" spans="1:33" ht="15" customHeight="1">
      <c r="A7" s="1087" t="s">
        <v>26</v>
      </c>
      <c r="B7" s="1350" t="s">
        <v>1241</v>
      </c>
      <c r="C7" s="1351"/>
      <c r="D7" s="1352"/>
    </row>
    <row r="8" spans="1:33" s="795" customFormat="1">
      <c r="A8" s="1058"/>
      <c r="B8" s="1059" t="s">
        <v>908</v>
      </c>
      <c r="C8" s="1059" t="s">
        <v>909</v>
      </c>
      <c r="D8" s="1060" t="s">
        <v>43</v>
      </c>
      <c r="E8" s="735"/>
      <c r="F8" s="735"/>
      <c r="G8" s="735"/>
      <c r="H8" s="735"/>
      <c r="I8" s="735"/>
      <c r="J8" s="735"/>
      <c r="K8" s="735"/>
      <c r="L8" s="735"/>
      <c r="M8" s="735"/>
      <c r="N8" s="735"/>
      <c r="O8" s="735"/>
      <c r="P8" s="735"/>
      <c r="Q8" s="735"/>
      <c r="R8" s="735"/>
      <c r="S8" s="735"/>
      <c r="T8" s="735"/>
      <c r="U8" s="735"/>
      <c r="V8" s="735"/>
      <c r="W8" s="735"/>
      <c r="X8" s="735"/>
      <c r="Y8" s="735"/>
      <c r="Z8" s="735"/>
      <c r="AA8" s="735"/>
      <c r="AB8" s="735"/>
      <c r="AC8" s="735"/>
      <c r="AD8" s="735"/>
      <c r="AE8" s="735"/>
      <c r="AF8" s="735"/>
    </row>
    <row r="9" spans="1:33" s="795" customFormat="1">
      <c r="A9" s="852" t="s">
        <v>516</v>
      </c>
      <c r="B9" s="1061"/>
      <c r="C9" s="1061"/>
      <c r="D9" s="1062"/>
      <c r="E9" s="1063"/>
      <c r="F9" s="1063"/>
      <c r="G9" s="1063"/>
      <c r="H9" s="1063"/>
      <c r="I9" s="1063"/>
      <c r="J9" s="1063"/>
      <c r="K9" s="1063"/>
      <c r="L9" s="1063"/>
      <c r="M9" s="1063"/>
      <c r="N9" s="1063"/>
      <c r="O9" s="1063"/>
      <c r="P9" s="1063"/>
      <c r="Q9" s="1063"/>
      <c r="R9" s="1063"/>
      <c r="S9" s="1063"/>
    </row>
    <row r="10" spans="1:33">
      <c r="A10" s="765" t="s">
        <v>828</v>
      </c>
      <c r="B10" s="942"/>
      <c r="C10" s="942"/>
      <c r="D10" s="1031">
        <f>'Income &amp; Expenditure'!D10</f>
        <v>0</v>
      </c>
      <c r="E10" s="1051"/>
      <c r="F10" s="1051"/>
      <c r="G10" s="1051"/>
      <c r="H10" s="1051"/>
      <c r="I10" s="1051"/>
      <c r="J10" s="1051"/>
      <c r="K10" s="1051"/>
      <c r="L10" s="1051"/>
      <c r="M10" s="1051"/>
      <c r="N10" s="1051"/>
      <c r="O10" s="1051"/>
      <c r="P10" s="1051"/>
      <c r="Q10" s="1051"/>
      <c r="R10" s="1051"/>
      <c r="S10" s="1051"/>
    </row>
    <row r="11" spans="1:33">
      <c r="A11" s="765" t="s">
        <v>891</v>
      </c>
      <c r="B11" s="942">
        <v>0</v>
      </c>
      <c r="C11" s="942">
        <f>+D11</f>
        <v>0</v>
      </c>
      <c r="D11" s="1031">
        <f>'Income &amp; Expenditure'!D11</f>
        <v>0</v>
      </c>
      <c r="E11" s="1051"/>
      <c r="F11" s="1051"/>
      <c r="G11" s="1051"/>
      <c r="H11" s="1051"/>
      <c r="I11" s="1051"/>
      <c r="J11" s="1051"/>
      <c r="K11" s="1051"/>
      <c r="L11" s="1051"/>
      <c r="M11" s="1051"/>
      <c r="N11" s="1051"/>
      <c r="O11" s="1051"/>
      <c r="P11" s="1051"/>
      <c r="Q11" s="1051"/>
      <c r="R11" s="1051"/>
      <c r="S11" s="1051"/>
    </row>
    <row r="12" spans="1:33">
      <c r="A12" s="1064" t="s">
        <v>892</v>
      </c>
      <c r="B12" s="1065">
        <f>SUM(B10:B11)</f>
        <v>0</v>
      </c>
      <c r="C12" s="1065">
        <f>SUM(C10:C11)</f>
        <v>0</v>
      </c>
      <c r="D12" s="1066">
        <f>SUM(D10:D11)</f>
        <v>0</v>
      </c>
      <c r="E12" s="1051"/>
      <c r="F12" s="1051"/>
      <c r="G12" s="1051"/>
      <c r="H12" s="1051"/>
      <c r="I12" s="1051"/>
      <c r="J12" s="1051"/>
      <c r="K12" s="1051"/>
      <c r="L12" s="1051"/>
      <c r="M12" s="1051"/>
      <c r="N12" s="1051"/>
      <c r="O12" s="1051"/>
      <c r="P12" s="1051"/>
      <c r="Q12" s="1051"/>
      <c r="R12" s="1051"/>
      <c r="S12" s="1051"/>
    </row>
    <row r="13" spans="1:33">
      <c r="A13" s="765"/>
      <c r="D13" s="1029"/>
      <c r="E13" s="1051"/>
      <c r="F13" s="1051"/>
      <c r="G13" s="1051"/>
      <c r="H13" s="1051"/>
      <c r="I13" s="1051"/>
      <c r="J13" s="1051"/>
      <c r="K13" s="1051"/>
      <c r="L13" s="1051"/>
      <c r="M13" s="1051"/>
      <c r="N13" s="1051"/>
      <c r="O13" s="1051"/>
      <c r="P13" s="1051"/>
      <c r="Q13" s="1051"/>
      <c r="R13" s="1051"/>
      <c r="S13" s="1051"/>
    </row>
    <row r="14" spans="1:33">
      <c r="A14" s="758" t="s">
        <v>517</v>
      </c>
      <c r="D14" s="1029"/>
      <c r="E14" s="1067" t="s">
        <v>1177</v>
      </c>
      <c r="F14" s="1068" t="s">
        <v>1062</v>
      </c>
      <c r="G14" s="1068" t="s">
        <v>1134</v>
      </c>
      <c r="H14" s="1068" t="s">
        <v>1063</v>
      </c>
      <c r="I14" s="1068" t="s">
        <v>1135</v>
      </c>
      <c r="J14" s="1068" t="s">
        <v>1136</v>
      </c>
      <c r="K14" s="1068" t="s">
        <v>890</v>
      </c>
      <c r="L14" s="1068" t="s">
        <v>1064</v>
      </c>
      <c r="M14" s="1068" t="s">
        <v>1071</v>
      </c>
      <c r="N14" s="1068" t="s">
        <v>1137</v>
      </c>
      <c r="O14" s="1068" t="s">
        <v>1143</v>
      </c>
      <c r="P14" s="1068" t="s">
        <v>1065</v>
      </c>
      <c r="Q14" s="1068" t="s">
        <v>1044</v>
      </c>
      <c r="R14" s="1068" t="s">
        <v>1069</v>
      </c>
      <c r="S14" s="1068" t="s">
        <v>1045</v>
      </c>
      <c r="T14" s="1068" t="s">
        <v>1043</v>
      </c>
      <c r="U14" s="1068" t="s">
        <v>1138</v>
      </c>
      <c r="V14" s="1068" t="s">
        <v>1070</v>
      </c>
      <c r="W14" s="1068" t="s">
        <v>1046</v>
      </c>
      <c r="X14" s="1068" t="s">
        <v>1139</v>
      </c>
      <c r="Y14" s="1068" t="s">
        <v>1066</v>
      </c>
      <c r="Z14" s="1068" t="s">
        <v>1191</v>
      </c>
      <c r="AA14" s="1068" t="s">
        <v>1133</v>
      </c>
      <c r="AB14" s="1068" t="s">
        <v>1140</v>
      </c>
      <c r="AC14" s="1068" t="s">
        <v>1141</v>
      </c>
      <c r="AD14" s="1068" t="s">
        <v>1048</v>
      </c>
      <c r="AE14" s="1068" t="s">
        <v>984</v>
      </c>
      <c r="AF14" s="1068" t="s">
        <v>1142</v>
      </c>
      <c r="AG14" s="795" t="s">
        <v>43</v>
      </c>
    </row>
    <row r="15" spans="1:33">
      <c r="A15" s="1069" t="s">
        <v>1194</v>
      </c>
      <c r="B15" s="1070"/>
      <c r="C15" s="1070"/>
      <c r="D15" s="1071"/>
      <c r="E15" s="1051">
        <v>1158654</v>
      </c>
      <c r="F15" s="1051">
        <v>6205000</v>
      </c>
      <c r="G15" s="1051">
        <v>20093</v>
      </c>
      <c r="H15" s="1051">
        <v>2215437</v>
      </c>
      <c r="I15" s="1051">
        <v>2564023</v>
      </c>
      <c r="J15" s="1051"/>
      <c r="K15" s="1051">
        <v>1045491</v>
      </c>
      <c r="L15" s="1051">
        <v>11287238</v>
      </c>
      <c r="M15" s="1051">
        <v>1092220</v>
      </c>
      <c r="N15" s="1038">
        <v>137783</v>
      </c>
      <c r="O15" s="1038">
        <v>3342149</v>
      </c>
      <c r="P15" s="1072">
        <v>71874192</v>
      </c>
      <c r="Q15" s="1072">
        <v>405549</v>
      </c>
      <c r="R15" s="1072">
        <v>269280</v>
      </c>
      <c r="S15" s="1072">
        <v>1455918</v>
      </c>
      <c r="T15" s="735">
        <v>7585265</v>
      </c>
      <c r="U15" s="1072">
        <v>157877</v>
      </c>
      <c r="V15" s="1072">
        <v>1315168</v>
      </c>
      <c r="W15" s="1072">
        <v>4085278</v>
      </c>
      <c r="X15" s="1072">
        <v>994258</v>
      </c>
      <c r="Y15" s="1072">
        <v>3636654</v>
      </c>
      <c r="Z15" s="1077">
        <f>12293451+185806+548295+513468.88</f>
        <v>13541020.880000001</v>
      </c>
      <c r="AA15" s="1072"/>
      <c r="AB15" s="1072">
        <v>400000</v>
      </c>
      <c r="AC15" s="1072">
        <v>458251</v>
      </c>
      <c r="AD15" s="1072">
        <v>2100000</v>
      </c>
      <c r="AE15" s="1072">
        <v>3194354</v>
      </c>
      <c r="AF15" s="1072">
        <f>260476+323200</f>
        <v>583676</v>
      </c>
      <c r="AG15" s="1073">
        <f>SUM(E15:AF15)</f>
        <v>141124828.88</v>
      </c>
    </row>
    <row r="16" spans="1:33">
      <c r="A16" s="1074" t="s">
        <v>1181</v>
      </c>
      <c r="B16" s="1075"/>
      <c r="C16" s="1075"/>
      <c r="D16" s="1076"/>
      <c r="E16" s="1051"/>
      <c r="F16" s="1051"/>
      <c r="G16" s="1051"/>
      <c r="H16" s="1051"/>
      <c r="I16" s="1051"/>
      <c r="J16" s="1051"/>
      <c r="K16" s="1051"/>
      <c r="L16" s="1051"/>
      <c r="M16" s="1051"/>
      <c r="P16" s="1072"/>
      <c r="Q16" s="1072"/>
      <c r="R16" s="1072"/>
      <c r="S16" s="1072"/>
      <c r="U16" s="1072"/>
      <c r="V16" s="1072"/>
      <c r="W16" s="1072"/>
      <c r="X16" s="1072"/>
      <c r="Y16" s="1072"/>
      <c r="Z16" s="1072"/>
      <c r="AA16" s="1072"/>
      <c r="AB16" s="1072"/>
      <c r="AC16" s="1072"/>
      <c r="AD16" s="1072"/>
      <c r="AE16" s="1072"/>
      <c r="AF16" s="1072"/>
      <c r="AG16" s="1073"/>
    </row>
    <row r="17" spans="1:33">
      <c r="A17" s="850" t="s">
        <v>1049</v>
      </c>
      <c r="B17" s="1075"/>
      <c r="C17" s="1075"/>
      <c r="D17" s="1076"/>
      <c r="E17" s="1051"/>
      <c r="F17" s="1051"/>
      <c r="G17" s="1051"/>
      <c r="H17" s="1051"/>
      <c r="I17" s="1051"/>
      <c r="J17" s="1051"/>
      <c r="K17" s="1051"/>
      <c r="L17" s="1051"/>
      <c r="M17" s="1051"/>
      <c r="N17" s="1051"/>
      <c r="O17" s="1051"/>
      <c r="P17" s="1072"/>
      <c r="Q17" s="1072"/>
      <c r="R17" s="1072"/>
      <c r="S17" s="1072"/>
      <c r="AE17" s="735">
        <v>1032818</v>
      </c>
      <c r="AG17" s="1073">
        <f t="shared" ref="AG17:AG54" si="0">SUM(E17:AF17)</f>
        <v>1032818</v>
      </c>
    </row>
    <row r="18" spans="1:33">
      <c r="A18" s="850" t="s">
        <v>831</v>
      </c>
      <c r="B18" s="1075"/>
      <c r="C18" s="1075"/>
      <c r="D18" s="1076"/>
      <c r="E18" s="1051"/>
      <c r="F18" s="1051"/>
      <c r="G18" s="1051"/>
      <c r="H18" s="1051"/>
      <c r="I18" s="1051"/>
      <c r="J18" s="1051"/>
      <c r="K18" s="1051">
        <v>125</v>
      </c>
      <c r="L18" s="1051"/>
      <c r="M18" s="1051"/>
      <c r="N18" s="1051"/>
      <c r="O18" s="1051"/>
      <c r="P18" s="1072"/>
      <c r="Q18" s="1072"/>
      <c r="R18" s="1072"/>
      <c r="S18" s="1072"/>
      <c r="Z18" s="735">
        <v>50000</v>
      </c>
      <c r="AG18" s="1073">
        <f t="shared" si="0"/>
        <v>50125</v>
      </c>
    </row>
    <row r="19" spans="1:33">
      <c r="A19" s="850" t="s">
        <v>1102</v>
      </c>
      <c r="B19" s="1075"/>
      <c r="C19" s="1075"/>
      <c r="D19" s="1076"/>
      <c r="K19" s="1038">
        <v>9670</v>
      </c>
      <c r="P19" s="1077"/>
      <c r="Q19" s="1077"/>
      <c r="T19" s="767"/>
      <c r="U19" s="1077"/>
      <c r="V19" s="1077"/>
      <c r="W19" s="1077">
        <v>49773</v>
      </c>
      <c r="X19" s="1077"/>
      <c r="Y19" s="1077">
        <v>2092750</v>
      </c>
      <c r="Z19" s="1077"/>
      <c r="AA19" s="1077"/>
      <c r="AB19" s="1077"/>
      <c r="AC19" s="1077"/>
      <c r="AD19" s="1077"/>
      <c r="AE19" s="1077"/>
      <c r="AF19" s="1077">
        <v>163947</v>
      </c>
      <c r="AG19" s="1073">
        <f t="shared" si="0"/>
        <v>2316140</v>
      </c>
    </row>
    <row r="20" spans="1:33">
      <c r="A20" s="936" t="s">
        <v>989</v>
      </c>
      <c r="B20" s="1075"/>
      <c r="C20" s="1075"/>
      <c r="D20" s="1076"/>
      <c r="P20" s="1077"/>
      <c r="Q20" s="1077"/>
      <c r="T20" s="767"/>
      <c r="U20" s="767"/>
      <c r="V20" s="767"/>
      <c r="W20" s="767">
        <v>109210</v>
      </c>
      <c r="X20" s="767"/>
      <c r="Y20" s="767"/>
      <c r="Z20" s="767"/>
      <c r="AA20" s="767"/>
      <c r="AB20" s="767"/>
      <c r="AC20" s="767"/>
      <c r="AD20" s="767"/>
      <c r="AE20" s="767">
        <v>630323.19999999995</v>
      </c>
      <c r="AF20" s="767"/>
      <c r="AG20" s="1073">
        <f t="shared" si="0"/>
        <v>739533.2</v>
      </c>
    </row>
    <row r="21" spans="1:33">
      <c r="A21" s="936" t="s">
        <v>885</v>
      </c>
      <c r="B21" s="1075"/>
      <c r="C21" s="1075"/>
      <c r="D21" s="1076"/>
      <c r="K21" s="1038">
        <v>475</v>
      </c>
      <c r="P21" s="1077"/>
      <c r="Q21" s="1077"/>
      <c r="R21" s="1077"/>
      <c r="S21" s="1077"/>
      <c r="T21" s="767"/>
      <c r="U21" s="767"/>
      <c r="V21" s="767"/>
      <c r="W21" s="767">
        <v>29536</v>
      </c>
      <c r="X21" s="767"/>
      <c r="Y21" s="767"/>
      <c r="Z21" s="767">
        <f>402+9305</f>
        <v>9707</v>
      </c>
      <c r="AA21" s="767"/>
      <c r="AB21" s="767"/>
      <c r="AC21" s="767"/>
      <c r="AD21" s="767"/>
      <c r="AE21" s="767"/>
      <c r="AF21" s="767"/>
      <c r="AG21" s="1073">
        <f t="shared" si="0"/>
        <v>39718</v>
      </c>
    </row>
    <row r="22" spans="1:33">
      <c r="A22" s="936" t="s">
        <v>845</v>
      </c>
      <c r="B22" s="1075"/>
      <c r="C22" s="1075"/>
      <c r="D22" s="1076"/>
      <c r="P22" s="1077"/>
      <c r="Q22" s="1077"/>
      <c r="R22" s="1077"/>
      <c r="S22" s="1077"/>
      <c r="T22" s="767"/>
      <c r="U22" s="767"/>
      <c r="V22" s="767"/>
      <c r="W22" s="767">
        <v>106768</v>
      </c>
      <c r="X22" s="767"/>
      <c r="Y22" s="767"/>
      <c r="Z22" s="767"/>
      <c r="AA22" s="767"/>
      <c r="AB22" s="767"/>
      <c r="AC22" s="767"/>
      <c r="AD22" s="767"/>
      <c r="AE22" s="767"/>
      <c r="AF22" s="767">
        <v>16373</v>
      </c>
      <c r="AG22" s="1073">
        <f t="shared" si="0"/>
        <v>123141</v>
      </c>
    </row>
    <row r="23" spans="1:33">
      <c r="A23" s="936" t="s">
        <v>1188</v>
      </c>
      <c r="B23" s="1075"/>
      <c r="C23" s="1075"/>
      <c r="D23" s="1076"/>
      <c r="K23" s="1038">
        <v>44878</v>
      </c>
      <c r="L23" s="1077"/>
      <c r="M23" s="1077"/>
      <c r="N23" s="1077"/>
      <c r="O23" s="1077"/>
      <c r="P23" s="1077"/>
      <c r="Q23" s="1077"/>
      <c r="R23" s="1077"/>
      <c r="S23" s="1077"/>
      <c r="T23" s="767"/>
      <c r="U23" s="1077"/>
      <c r="V23" s="1077"/>
      <c r="W23" s="1077">
        <f>39099+2374</f>
        <v>41473</v>
      </c>
      <c r="X23" s="1077"/>
      <c r="Y23" s="1077"/>
      <c r="Z23" s="1077"/>
      <c r="AA23" s="1077"/>
      <c r="AB23" s="1077"/>
      <c r="AC23" s="1077"/>
      <c r="AD23" s="1077">
        <v>50000</v>
      </c>
      <c r="AE23" s="1077">
        <v>748334.94</v>
      </c>
      <c r="AF23" s="1077"/>
      <c r="AG23" s="1073">
        <f t="shared" si="0"/>
        <v>884685.94</v>
      </c>
    </row>
    <row r="24" spans="1:33">
      <c r="A24" s="936" t="s">
        <v>1103</v>
      </c>
      <c r="B24" s="1075"/>
      <c r="C24" s="1075"/>
      <c r="D24" s="1076"/>
      <c r="P24" s="1077"/>
      <c r="Q24" s="1077"/>
      <c r="R24" s="1077"/>
      <c r="S24" s="1077"/>
      <c r="T24" s="767"/>
      <c r="U24" s="1077"/>
      <c r="V24" s="1077"/>
      <c r="W24" s="1077"/>
      <c r="X24" s="1077"/>
      <c r="Y24" s="1077"/>
      <c r="Z24" s="1077"/>
      <c r="AA24" s="1077"/>
      <c r="AB24" s="1077"/>
      <c r="AC24" s="1077"/>
      <c r="AD24" s="1077"/>
      <c r="AE24" s="1077"/>
      <c r="AF24" s="1077"/>
      <c r="AG24" s="1073">
        <f t="shared" si="0"/>
        <v>0</v>
      </c>
    </row>
    <row r="25" spans="1:33">
      <c r="A25" s="936" t="s">
        <v>1104</v>
      </c>
      <c r="B25" s="1075"/>
      <c r="C25" s="1075"/>
      <c r="D25" s="1076"/>
      <c r="P25" s="1077"/>
      <c r="Q25" s="1077"/>
      <c r="R25" s="1077"/>
      <c r="S25" s="1077"/>
      <c r="T25" s="767"/>
      <c r="U25" s="767"/>
      <c r="V25" s="767"/>
      <c r="W25" s="767"/>
      <c r="X25" s="767"/>
      <c r="Y25" s="767"/>
      <c r="Z25" s="767"/>
      <c r="AA25" s="767"/>
      <c r="AB25" s="767"/>
      <c r="AC25" s="767"/>
      <c r="AD25" s="767"/>
      <c r="AE25" s="767"/>
      <c r="AF25" s="767"/>
      <c r="AG25" s="1073">
        <f t="shared" si="0"/>
        <v>0</v>
      </c>
    </row>
    <row r="26" spans="1:33" hidden="1">
      <c r="A26" s="936" t="s">
        <v>1189</v>
      </c>
      <c r="B26" s="1075"/>
      <c r="C26" s="1075"/>
      <c r="D26" s="1076"/>
      <c r="P26" s="1077"/>
      <c r="Q26" s="1077"/>
      <c r="R26" s="1077"/>
      <c r="S26" s="1077"/>
      <c r="T26" s="767">
        <v>309400</v>
      </c>
      <c r="U26" s="767"/>
      <c r="V26" s="767"/>
      <c r="W26" s="767"/>
      <c r="X26" s="767"/>
      <c r="Y26" s="767"/>
      <c r="Z26" s="767"/>
      <c r="AA26" s="767"/>
      <c r="AB26" s="767"/>
      <c r="AC26" s="767"/>
      <c r="AD26" s="767"/>
      <c r="AE26" s="767"/>
      <c r="AF26" s="767"/>
      <c r="AG26" s="1073">
        <f t="shared" si="0"/>
        <v>309400</v>
      </c>
    </row>
    <row r="27" spans="1:33" hidden="1">
      <c r="A27" s="936" t="s">
        <v>854</v>
      </c>
      <c r="B27" s="1075"/>
      <c r="C27" s="1075"/>
      <c r="D27" s="1076"/>
      <c r="P27" s="1077"/>
      <c r="Q27" s="1077"/>
      <c r="T27" s="767"/>
      <c r="U27" s="767"/>
      <c r="V27" s="767"/>
      <c r="W27" s="767"/>
      <c r="X27" s="767"/>
      <c r="Y27" s="767"/>
      <c r="Z27" s="767"/>
      <c r="AA27" s="767"/>
      <c r="AB27" s="767"/>
      <c r="AC27" s="767"/>
      <c r="AD27" s="767"/>
      <c r="AE27" s="767"/>
      <c r="AF27" s="767"/>
      <c r="AG27" s="1073">
        <f t="shared" si="0"/>
        <v>0</v>
      </c>
    </row>
    <row r="28" spans="1:33" hidden="1">
      <c r="A28" s="936" t="s">
        <v>1109</v>
      </c>
      <c r="B28" s="1075"/>
      <c r="C28" s="1075"/>
      <c r="D28" s="1076"/>
      <c r="P28" s="1077"/>
      <c r="Q28" s="1077"/>
      <c r="R28" s="1077"/>
      <c r="S28" s="1077"/>
      <c r="T28" s="767"/>
      <c r="U28" s="1077"/>
      <c r="V28" s="1077"/>
      <c r="W28" s="1077"/>
      <c r="X28" s="1077"/>
      <c r="Y28" s="1077"/>
      <c r="Z28" s="1077"/>
      <c r="AA28" s="1077"/>
      <c r="AB28" s="1077"/>
      <c r="AC28" s="1077"/>
      <c r="AD28" s="1077"/>
      <c r="AE28" s="1077"/>
      <c r="AF28" s="1077"/>
      <c r="AG28" s="1073">
        <f t="shared" si="0"/>
        <v>0</v>
      </c>
    </row>
    <row r="29" spans="1:33">
      <c r="A29" s="936" t="s">
        <v>1042</v>
      </c>
      <c r="B29" s="1075"/>
      <c r="C29" s="1075"/>
      <c r="D29" s="1076"/>
      <c r="K29" s="1038">
        <v>212350</v>
      </c>
      <c r="O29" s="1038">
        <v>1050000</v>
      </c>
      <c r="P29" s="1077">
        <v>982172</v>
      </c>
      <c r="Q29" s="1077">
        <v>335984</v>
      </c>
      <c r="T29" s="767">
        <v>77232</v>
      </c>
      <c r="U29" s="767">
        <v>333719</v>
      </c>
      <c r="V29" s="767"/>
      <c r="W29" s="767">
        <v>336287</v>
      </c>
      <c r="X29" s="767"/>
      <c r="Y29" s="767">
        <v>499994</v>
      </c>
      <c r="Z29" s="767">
        <f>175008.56+1673</f>
        <v>176681.56</v>
      </c>
      <c r="AA29" s="767"/>
      <c r="AB29" s="767"/>
      <c r="AC29" s="767">
        <v>76186</v>
      </c>
      <c r="AD29" s="767"/>
      <c r="AE29" s="767"/>
      <c r="AF29" s="767">
        <v>14408</v>
      </c>
      <c r="AG29" s="1073">
        <f t="shared" si="0"/>
        <v>4095013.56</v>
      </c>
    </row>
    <row r="30" spans="1:33">
      <c r="A30" s="936" t="s">
        <v>1108</v>
      </c>
      <c r="B30" s="1075"/>
      <c r="C30" s="1075"/>
      <c r="D30" s="1076"/>
      <c r="K30" s="1038">
        <v>15395</v>
      </c>
      <c r="P30" s="1038">
        <v>27315</v>
      </c>
      <c r="Q30" s="1077"/>
      <c r="R30" s="1077"/>
      <c r="S30" s="1077"/>
      <c r="T30" s="767"/>
      <c r="U30" s="1077"/>
      <c r="V30" s="1077"/>
      <c r="W30" s="1077">
        <v>58534</v>
      </c>
      <c r="X30" s="1077"/>
      <c r="Y30" s="1077"/>
      <c r="Z30" s="1077">
        <f>4867.36</f>
        <v>4867.3599999999997</v>
      </c>
      <c r="AA30" s="1077"/>
      <c r="AB30" s="1077"/>
      <c r="AC30" s="1077"/>
      <c r="AD30" s="1077"/>
      <c r="AE30" s="1077"/>
      <c r="AF30" s="1077"/>
      <c r="AG30" s="1073">
        <f t="shared" si="0"/>
        <v>106111.36</v>
      </c>
    </row>
    <row r="31" spans="1:33">
      <c r="A31" s="936" t="s">
        <v>837</v>
      </c>
      <c r="B31" s="1075"/>
      <c r="C31" s="1095"/>
      <c r="D31" s="1076"/>
      <c r="J31" s="1077"/>
      <c r="K31" s="1077">
        <v>8527</v>
      </c>
      <c r="P31" s="1077"/>
      <c r="Q31" s="1077"/>
      <c r="T31" s="767"/>
      <c r="U31" s="767"/>
      <c r="V31" s="767"/>
      <c r="W31" s="767"/>
      <c r="X31" s="767"/>
      <c r="Y31" s="767"/>
      <c r="Z31" s="767"/>
      <c r="AA31" s="767"/>
      <c r="AB31" s="767"/>
      <c r="AC31" s="767"/>
      <c r="AD31" s="767"/>
      <c r="AE31" s="767"/>
      <c r="AF31" s="767"/>
      <c r="AG31" s="1073">
        <f t="shared" si="0"/>
        <v>8527</v>
      </c>
    </row>
    <row r="32" spans="1:33">
      <c r="A32" s="936" t="s">
        <v>850</v>
      </c>
      <c r="B32" s="1075"/>
      <c r="C32" s="1075"/>
      <c r="D32" s="1076"/>
      <c r="G32" s="1038">
        <v>1070</v>
      </c>
      <c r="I32" s="1038">
        <v>40647</v>
      </c>
      <c r="N32" s="1038">
        <v>7335</v>
      </c>
      <c r="O32" s="1038">
        <v>4431</v>
      </c>
      <c r="P32" s="1038">
        <v>1549959</v>
      </c>
      <c r="Q32" s="1077">
        <v>6724</v>
      </c>
      <c r="R32" s="1077"/>
      <c r="S32" s="1077"/>
      <c r="T32" s="767">
        <v>1178630.1499999999</v>
      </c>
      <c r="U32" s="1077">
        <v>8404</v>
      </c>
      <c r="V32" s="1077"/>
      <c r="W32" s="1077">
        <f>916920+230429</f>
        <v>1147349</v>
      </c>
      <c r="X32" s="1077"/>
      <c r="Y32" s="1077">
        <v>61123</v>
      </c>
      <c r="Z32" s="1077">
        <v>276179.77</v>
      </c>
      <c r="AA32" s="1077"/>
      <c r="AB32" s="1077"/>
      <c r="AC32" s="1077"/>
      <c r="AD32" s="1077"/>
      <c r="AE32" s="1077">
        <v>22921</v>
      </c>
      <c r="AF32" s="1077">
        <v>136000</v>
      </c>
      <c r="AG32" s="1073">
        <f t="shared" si="0"/>
        <v>4440772.92</v>
      </c>
    </row>
    <row r="33" spans="1:33">
      <c r="A33" s="936" t="s">
        <v>872</v>
      </c>
      <c r="B33" s="1075"/>
      <c r="C33" s="1075"/>
      <c r="D33" s="1076"/>
      <c r="J33" s="1077"/>
      <c r="K33" s="1077"/>
      <c r="P33" s="1077">
        <v>327541</v>
      </c>
      <c r="Q33" s="1077"/>
      <c r="T33" s="767"/>
      <c r="U33" s="767"/>
      <c r="V33" s="767"/>
      <c r="W33" s="767">
        <v>18522</v>
      </c>
      <c r="X33" s="767"/>
      <c r="Y33" s="767"/>
      <c r="Z33" s="767">
        <v>58362.92</v>
      </c>
      <c r="AA33" s="767"/>
      <c r="AB33" s="767"/>
      <c r="AC33" s="767"/>
      <c r="AD33" s="767"/>
      <c r="AE33" s="767">
        <v>397382.6</v>
      </c>
      <c r="AF33" s="767"/>
      <c r="AG33" s="1073">
        <f t="shared" si="0"/>
        <v>801808.52</v>
      </c>
    </row>
    <row r="34" spans="1:33">
      <c r="A34" s="936" t="s">
        <v>1050</v>
      </c>
      <c r="B34" s="1075"/>
      <c r="C34" s="1075"/>
      <c r="D34" s="1076"/>
      <c r="E34" s="1038">
        <v>360150</v>
      </c>
      <c r="G34" s="1038">
        <v>38837</v>
      </c>
      <c r="I34" s="1038">
        <v>295689</v>
      </c>
      <c r="K34" s="1038">
        <v>41284</v>
      </c>
      <c r="M34" s="1038">
        <v>339500</v>
      </c>
      <c r="O34" s="1038">
        <v>668850</v>
      </c>
      <c r="P34" s="1077">
        <f>12871467+2263469</f>
        <v>15134936</v>
      </c>
      <c r="Q34" s="1077">
        <v>40448</v>
      </c>
      <c r="R34" s="1077"/>
      <c r="S34" s="1077">
        <v>452550</v>
      </c>
      <c r="T34" s="767"/>
      <c r="U34" s="767"/>
      <c r="V34" s="767">
        <v>408800</v>
      </c>
      <c r="W34" s="767">
        <f>4022+404529</f>
        <v>408551</v>
      </c>
      <c r="X34" s="767">
        <v>309050</v>
      </c>
      <c r="Y34" s="767">
        <v>666275.62</v>
      </c>
      <c r="Z34" s="767">
        <f>2293505.38+403316.72</f>
        <v>2696822.0999999996</v>
      </c>
      <c r="AA34" s="767"/>
      <c r="AB34" s="767"/>
      <c r="AC34" s="767"/>
      <c r="AD34" s="767"/>
      <c r="AE34" s="767">
        <v>292709.26</v>
      </c>
      <c r="AF34" s="767"/>
      <c r="AG34" s="1073">
        <f t="shared" si="0"/>
        <v>22154451.98</v>
      </c>
    </row>
    <row r="35" spans="1:33">
      <c r="A35" s="936" t="s">
        <v>1105</v>
      </c>
      <c r="B35" s="1075"/>
      <c r="C35" s="1075"/>
      <c r="D35" s="1076"/>
      <c r="P35" s="1077">
        <v>177541</v>
      </c>
      <c r="Q35" s="1077"/>
      <c r="T35" s="767"/>
      <c r="U35" s="767"/>
      <c r="V35" s="767"/>
      <c r="W35" s="767">
        <v>65584</v>
      </c>
      <c r="X35" s="767"/>
      <c r="Y35" s="767"/>
      <c r="Z35" s="767">
        <v>22330.29</v>
      </c>
      <c r="AA35" s="767"/>
      <c r="AB35" s="767"/>
      <c r="AC35" s="767"/>
      <c r="AD35" s="767"/>
      <c r="AE35" s="767"/>
      <c r="AF35" s="767">
        <v>6354</v>
      </c>
      <c r="AG35" s="1073">
        <f t="shared" si="0"/>
        <v>271809.28999999998</v>
      </c>
    </row>
    <row r="36" spans="1:33">
      <c r="A36" s="936" t="s">
        <v>1107</v>
      </c>
      <c r="B36" s="1075"/>
      <c r="C36" s="1075"/>
      <c r="D36" s="1076"/>
      <c r="I36" s="1038">
        <v>2099641</v>
      </c>
      <c r="N36" s="1038">
        <v>296882</v>
      </c>
      <c r="O36" s="1038">
        <v>841088</v>
      </c>
      <c r="Q36" s="1077">
        <v>11295</v>
      </c>
      <c r="R36" s="1077">
        <v>230720</v>
      </c>
      <c r="S36" s="1077"/>
      <c r="T36" s="767">
        <v>7880739</v>
      </c>
      <c r="U36" s="1077"/>
      <c r="V36" s="1077"/>
      <c r="W36" s="1077">
        <v>708921</v>
      </c>
      <c r="X36" s="1077"/>
      <c r="Y36" s="1077"/>
      <c r="Z36" s="1077"/>
      <c r="AA36" s="1077"/>
      <c r="AB36" s="1077"/>
      <c r="AC36" s="1077"/>
      <c r="AD36" s="1077"/>
      <c r="AE36" s="1077"/>
      <c r="AF36" s="1077">
        <v>1050000</v>
      </c>
      <c r="AG36" s="1073">
        <f t="shared" si="0"/>
        <v>13119286</v>
      </c>
    </row>
    <row r="37" spans="1:33">
      <c r="A37" s="936" t="s">
        <v>1106</v>
      </c>
      <c r="B37" s="1075"/>
      <c r="C37" s="1075"/>
      <c r="D37" s="1076"/>
      <c r="H37" s="1038">
        <v>148313</v>
      </c>
      <c r="K37" s="1038">
        <v>5387</v>
      </c>
      <c r="P37" s="1077">
        <v>3768706</v>
      </c>
      <c r="Q37" s="1077"/>
      <c r="R37" s="1077"/>
      <c r="S37" s="1077"/>
      <c r="T37" s="767"/>
      <c r="U37" s="767"/>
      <c r="V37" s="767"/>
      <c r="W37" s="767">
        <v>24610</v>
      </c>
      <c r="X37" s="767"/>
      <c r="Y37" s="767">
        <v>107224.38</v>
      </c>
      <c r="Z37" s="767">
        <v>671527.71</v>
      </c>
      <c r="AA37" s="767"/>
      <c r="AB37" s="767"/>
      <c r="AC37" s="767"/>
      <c r="AD37" s="767"/>
      <c r="AE37" s="767"/>
      <c r="AF37" s="767">
        <v>2998</v>
      </c>
      <c r="AG37" s="1073">
        <f t="shared" si="0"/>
        <v>4728766.09</v>
      </c>
    </row>
    <row r="38" spans="1:33">
      <c r="A38" s="936" t="s">
        <v>836</v>
      </c>
      <c r="B38" s="1075"/>
      <c r="C38" s="1075"/>
      <c r="D38" s="1076"/>
      <c r="K38" s="1038">
        <f>200+327000</f>
        <v>327200</v>
      </c>
      <c r="P38" s="1077">
        <v>1908860</v>
      </c>
      <c r="Q38" s="1077"/>
      <c r="R38" s="1077"/>
      <c r="S38" s="1077"/>
      <c r="T38" s="767"/>
      <c r="U38" s="767"/>
      <c r="V38" s="767"/>
      <c r="W38" s="767"/>
      <c r="X38" s="767"/>
      <c r="Y38" s="767"/>
      <c r="Z38" s="767">
        <f>340130.7+16297-0.29</f>
        <v>356427.41000000003</v>
      </c>
      <c r="AA38" s="767"/>
      <c r="AB38" s="767"/>
      <c r="AC38" s="767"/>
      <c r="AD38" s="767"/>
      <c r="AE38" s="767"/>
      <c r="AF38" s="767">
        <v>7782</v>
      </c>
      <c r="AG38" s="1073">
        <f t="shared" si="0"/>
        <v>2600269.41</v>
      </c>
    </row>
    <row r="39" spans="1:33">
      <c r="A39" s="936" t="s">
        <v>1242</v>
      </c>
      <c r="B39" s="1075"/>
      <c r="C39" s="1075"/>
      <c r="D39" s="1076"/>
      <c r="E39" s="1038">
        <v>70138</v>
      </c>
      <c r="J39" s="1038">
        <v>34728.5</v>
      </c>
      <c r="K39" s="1038">
        <v>22185</v>
      </c>
      <c r="L39" s="1038">
        <v>430333</v>
      </c>
      <c r="M39" s="1038">
        <v>68280</v>
      </c>
      <c r="O39" s="1038">
        <v>193482</v>
      </c>
      <c r="P39" s="1077">
        <v>3077105</v>
      </c>
      <c r="Q39" s="1077"/>
      <c r="R39" s="1077"/>
      <c r="S39" s="1077">
        <v>91532</v>
      </c>
      <c r="T39" s="767"/>
      <c r="U39" s="767"/>
      <c r="V39" s="767">
        <v>76032</v>
      </c>
      <c r="W39" s="767"/>
      <c r="X39" s="767">
        <v>56692</v>
      </c>
      <c r="Y39" s="767">
        <v>135979</v>
      </c>
      <c r="Z39" s="767"/>
      <c r="AA39" s="767">
        <v>75000</v>
      </c>
      <c r="AB39" s="767"/>
      <c r="AC39" s="767"/>
      <c r="AD39" s="767"/>
      <c r="AE39" s="767"/>
      <c r="AF39" s="767">
        <v>18462</v>
      </c>
      <c r="AG39" s="1073">
        <f t="shared" si="0"/>
        <v>4349948.5</v>
      </c>
    </row>
    <row r="40" spans="1:33">
      <c r="A40" s="936" t="s">
        <v>990</v>
      </c>
      <c r="B40" s="1075"/>
      <c r="C40" s="1075"/>
      <c r="D40" s="1076"/>
      <c r="J40" s="1038">
        <v>620271.5</v>
      </c>
      <c r="L40" s="1038">
        <v>5252429</v>
      </c>
      <c r="P40" s="1077"/>
      <c r="Q40" s="1077"/>
      <c r="R40" s="1077"/>
      <c r="S40" s="1077"/>
      <c r="T40" s="767"/>
      <c r="U40" s="767"/>
      <c r="V40" s="767"/>
      <c r="W40" s="767"/>
      <c r="X40" s="767"/>
      <c r="Y40" s="767"/>
      <c r="Z40" s="767"/>
      <c r="AA40" s="767">
        <v>1500000</v>
      </c>
      <c r="AB40" s="767"/>
      <c r="AC40" s="767"/>
      <c r="AD40" s="767"/>
      <c r="AE40" s="767"/>
      <c r="AF40" s="767"/>
      <c r="AG40" s="1078">
        <f t="shared" si="0"/>
        <v>7372700.5</v>
      </c>
    </row>
    <row r="41" spans="1:33">
      <c r="A41" s="1039" t="s">
        <v>1182</v>
      </c>
      <c r="B41" s="1075"/>
      <c r="C41" s="1075"/>
      <c r="D41" s="1076"/>
      <c r="P41" s="1077"/>
      <c r="Q41" s="1077"/>
      <c r="R41" s="1077"/>
      <c r="S41" s="1077"/>
      <c r="T41" s="767"/>
      <c r="U41" s="767"/>
      <c r="V41" s="767"/>
      <c r="W41" s="767"/>
      <c r="X41" s="767"/>
      <c r="Y41" s="767"/>
      <c r="Z41" s="767"/>
      <c r="AA41" s="767"/>
      <c r="AB41" s="767"/>
      <c r="AC41" s="767"/>
      <c r="AD41" s="767"/>
      <c r="AE41" s="767"/>
      <c r="AF41" s="767"/>
      <c r="AG41" s="1078">
        <f t="shared" si="0"/>
        <v>0</v>
      </c>
    </row>
    <row r="42" spans="1:33">
      <c r="A42" s="938" t="s">
        <v>1209</v>
      </c>
      <c r="B42" s="1075"/>
      <c r="C42" s="1075"/>
      <c r="D42" s="1076"/>
      <c r="P42" s="1077"/>
      <c r="Q42" s="1077"/>
      <c r="R42" s="1077"/>
      <c r="S42" s="1077"/>
      <c r="T42" s="767"/>
      <c r="U42" s="767"/>
      <c r="V42" s="767"/>
      <c r="W42" s="767"/>
      <c r="X42" s="767"/>
      <c r="Y42" s="767"/>
      <c r="Z42" s="767"/>
      <c r="AA42" s="767"/>
      <c r="AB42" s="767"/>
      <c r="AC42" s="767"/>
      <c r="AD42" s="767"/>
      <c r="AE42" s="767"/>
      <c r="AF42" s="767"/>
      <c r="AG42" s="1078">
        <f t="shared" si="0"/>
        <v>0</v>
      </c>
    </row>
    <row r="43" spans="1:33">
      <c r="A43" s="938" t="s">
        <v>1100</v>
      </c>
      <c r="B43" s="1075"/>
      <c r="C43" s="1075"/>
      <c r="D43" s="1076"/>
      <c r="P43" s="1077"/>
      <c r="Q43" s="1077"/>
      <c r="R43" s="1077"/>
      <c r="S43" s="1077"/>
      <c r="T43" s="767"/>
      <c r="U43" s="767"/>
      <c r="V43" s="767"/>
      <c r="W43" s="767"/>
      <c r="X43" s="767"/>
      <c r="Y43" s="767"/>
      <c r="Z43" s="767"/>
      <c r="AA43" s="767"/>
      <c r="AB43" s="767"/>
      <c r="AC43" s="767"/>
      <c r="AD43" s="767"/>
      <c r="AE43" s="767"/>
      <c r="AF43" s="767"/>
      <c r="AG43" s="1078">
        <f t="shared" si="0"/>
        <v>0</v>
      </c>
    </row>
    <row r="44" spans="1:33">
      <c r="A44" s="938" t="s">
        <v>1101</v>
      </c>
      <c r="B44" s="1075"/>
      <c r="C44" s="1075"/>
      <c r="D44" s="1076"/>
      <c r="P44" s="1077"/>
      <c r="Q44" s="1077"/>
      <c r="R44" s="1077"/>
      <c r="S44" s="1077"/>
      <c r="T44" s="767"/>
      <c r="U44" s="767"/>
      <c r="V44" s="767"/>
      <c r="W44" s="767"/>
      <c r="X44" s="767"/>
      <c r="Y44" s="767"/>
      <c r="Z44" s="767"/>
      <c r="AA44" s="767"/>
      <c r="AB44" s="767"/>
      <c r="AC44" s="767"/>
      <c r="AD44" s="767"/>
      <c r="AE44" s="767"/>
      <c r="AF44" s="767"/>
      <c r="AG44" s="1078">
        <f t="shared" si="0"/>
        <v>0</v>
      </c>
    </row>
    <row r="45" spans="1:33" hidden="1">
      <c r="A45" s="938" t="s">
        <v>1097</v>
      </c>
      <c r="B45" s="1075"/>
      <c r="C45" s="1075"/>
      <c r="D45" s="1076"/>
      <c r="P45" s="1077"/>
      <c r="Q45" s="1077"/>
      <c r="R45" s="1077"/>
      <c r="S45" s="1077"/>
      <c r="T45" s="767"/>
      <c r="U45" s="767"/>
      <c r="V45" s="767"/>
      <c r="W45" s="767"/>
      <c r="X45" s="767"/>
      <c r="Y45" s="767"/>
      <c r="Z45" s="767"/>
      <c r="AA45" s="767"/>
      <c r="AB45" s="767"/>
      <c r="AC45" s="767"/>
      <c r="AD45" s="767"/>
      <c r="AE45" s="767"/>
      <c r="AF45" s="767"/>
      <c r="AG45" s="1078">
        <f t="shared" si="0"/>
        <v>0</v>
      </c>
    </row>
    <row r="46" spans="1:33" hidden="1">
      <c r="A46" s="938" t="s">
        <v>1098</v>
      </c>
      <c r="B46" s="1075"/>
      <c r="C46" s="1075"/>
      <c r="D46" s="1076"/>
      <c r="P46" s="1077"/>
      <c r="Q46" s="1077"/>
      <c r="R46" s="1077"/>
      <c r="S46" s="1077"/>
      <c r="T46" s="767"/>
      <c r="U46" s="767"/>
      <c r="V46" s="767"/>
      <c r="W46" s="767"/>
      <c r="X46" s="767"/>
      <c r="Y46" s="767"/>
      <c r="Z46" s="767"/>
      <c r="AA46" s="767"/>
      <c r="AB46" s="767"/>
      <c r="AC46" s="767"/>
      <c r="AD46" s="767"/>
      <c r="AE46" s="767"/>
      <c r="AF46" s="767"/>
      <c r="AG46" s="1078">
        <f t="shared" si="0"/>
        <v>0</v>
      </c>
    </row>
    <row r="47" spans="1:33">
      <c r="A47" s="939" t="s">
        <v>985</v>
      </c>
      <c r="B47" s="1075"/>
      <c r="C47" s="1075"/>
      <c r="D47" s="1076"/>
      <c r="P47" s="1077"/>
      <c r="Q47" s="1077"/>
      <c r="R47" s="1077"/>
      <c r="S47" s="1077"/>
      <c r="T47" s="767"/>
      <c r="U47" s="767"/>
      <c r="V47" s="767"/>
      <c r="W47" s="767"/>
      <c r="X47" s="767"/>
      <c r="Y47" s="767"/>
      <c r="Z47" s="767"/>
      <c r="AA47" s="767"/>
      <c r="AB47" s="767"/>
      <c r="AC47" s="767"/>
      <c r="AD47" s="767"/>
      <c r="AE47" s="767"/>
      <c r="AF47" s="767"/>
      <c r="AG47" s="1078">
        <f t="shared" si="0"/>
        <v>0</v>
      </c>
    </row>
    <row r="48" spans="1:33" hidden="1">
      <c r="A48" s="938" t="s">
        <v>854</v>
      </c>
      <c r="B48" s="1075"/>
      <c r="C48" s="1075"/>
      <c r="D48" s="1076"/>
      <c r="P48" s="1077"/>
      <c r="Q48" s="1077"/>
      <c r="R48" s="1077"/>
      <c r="S48" s="1077"/>
      <c r="T48" s="767"/>
      <c r="U48" s="767"/>
      <c r="V48" s="767"/>
      <c r="W48" s="767"/>
      <c r="X48" s="767"/>
      <c r="Y48" s="767"/>
      <c r="Z48" s="767"/>
      <c r="AA48" s="767"/>
      <c r="AB48" s="767"/>
      <c r="AC48" s="767"/>
      <c r="AD48" s="767"/>
      <c r="AE48" s="767"/>
      <c r="AF48" s="767"/>
      <c r="AG48" s="1078">
        <f t="shared" si="0"/>
        <v>0</v>
      </c>
    </row>
    <row r="49" spans="1:34" hidden="1">
      <c r="A49" s="938" t="s">
        <v>1099</v>
      </c>
      <c r="B49" s="1075"/>
      <c r="C49" s="1075"/>
      <c r="D49" s="1076"/>
      <c r="P49" s="1077"/>
      <c r="Q49" s="1077"/>
      <c r="R49" s="1077"/>
      <c r="S49" s="1077"/>
      <c r="T49" s="767"/>
      <c r="U49" s="767"/>
      <c r="V49" s="767"/>
      <c r="W49" s="767"/>
      <c r="X49" s="767"/>
      <c r="Y49" s="767"/>
      <c r="Z49" s="767"/>
      <c r="AA49" s="767"/>
      <c r="AB49" s="767"/>
      <c r="AC49" s="767"/>
      <c r="AD49" s="767"/>
      <c r="AE49" s="767"/>
      <c r="AF49" s="767"/>
      <c r="AG49" s="1078">
        <f t="shared" si="0"/>
        <v>0</v>
      </c>
    </row>
    <row r="50" spans="1:34">
      <c r="A50" s="938" t="s">
        <v>932</v>
      </c>
      <c r="B50" s="1075"/>
      <c r="C50" s="1075"/>
      <c r="D50" s="1076"/>
      <c r="P50" s="1077"/>
      <c r="Q50" s="1077"/>
      <c r="R50" s="1077"/>
      <c r="S50" s="1077"/>
      <c r="T50" s="767"/>
      <c r="U50" s="767"/>
      <c r="V50" s="767"/>
      <c r="W50" s="767"/>
      <c r="X50" s="767"/>
      <c r="Y50" s="767"/>
      <c r="Z50" s="767">
        <v>59000</v>
      </c>
      <c r="AA50" s="767"/>
      <c r="AB50" s="767"/>
      <c r="AC50" s="767"/>
      <c r="AD50" s="767"/>
      <c r="AE50" s="767"/>
      <c r="AF50" s="767"/>
      <c r="AG50" s="1078">
        <f t="shared" si="0"/>
        <v>59000</v>
      </c>
    </row>
    <row r="51" spans="1:34">
      <c r="A51" s="938" t="s">
        <v>886</v>
      </c>
      <c r="B51" s="1075"/>
      <c r="C51" s="1075"/>
      <c r="D51" s="1076"/>
      <c r="P51" s="1077"/>
      <c r="Q51" s="1077"/>
      <c r="R51" s="1077"/>
      <c r="S51" s="1077"/>
      <c r="T51" s="767"/>
      <c r="U51" s="767"/>
      <c r="V51" s="767"/>
      <c r="W51" s="767"/>
      <c r="X51" s="767"/>
      <c r="Y51" s="767"/>
      <c r="Z51" s="767">
        <v>77073</v>
      </c>
      <c r="AA51" s="767"/>
      <c r="AB51" s="767"/>
      <c r="AC51" s="767"/>
      <c r="AD51" s="767"/>
      <c r="AE51" s="767"/>
      <c r="AF51" s="767"/>
      <c r="AG51" s="1078">
        <f t="shared" si="0"/>
        <v>77073</v>
      </c>
    </row>
    <row r="52" spans="1:34">
      <c r="A52" s="938" t="s">
        <v>887</v>
      </c>
      <c r="B52" s="1075"/>
      <c r="C52" s="1075"/>
      <c r="D52" s="1076"/>
      <c r="P52" s="1077"/>
      <c r="Q52" s="1077"/>
      <c r="R52" s="1077"/>
      <c r="S52" s="1077"/>
      <c r="T52" s="767"/>
      <c r="U52" s="767"/>
      <c r="V52" s="767"/>
      <c r="W52" s="767"/>
      <c r="X52" s="767"/>
      <c r="Y52" s="767"/>
      <c r="Z52" s="767"/>
      <c r="AA52" s="767"/>
      <c r="AB52" s="767"/>
      <c r="AC52" s="767"/>
      <c r="AD52" s="767"/>
      <c r="AE52" s="767"/>
      <c r="AF52" s="767"/>
      <c r="AG52" s="1078">
        <f t="shared" si="0"/>
        <v>0</v>
      </c>
    </row>
    <row r="53" spans="1:34">
      <c r="A53" s="936" t="s">
        <v>838</v>
      </c>
      <c r="B53" s="1075"/>
      <c r="C53" s="1075"/>
      <c r="D53" s="1076"/>
      <c r="R53" s="1077"/>
      <c r="S53" s="1077"/>
      <c r="T53" s="767"/>
      <c r="U53" s="1038"/>
      <c r="V53" s="1038"/>
      <c r="W53" s="1038"/>
      <c r="X53" s="1038"/>
      <c r="Y53" s="1038"/>
      <c r="Z53" s="1038"/>
      <c r="AA53" s="1038"/>
      <c r="AB53" s="1038"/>
      <c r="AC53" s="1038"/>
      <c r="AD53" s="1038"/>
      <c r="AE53" s="1038"/>
      <c r="AF53" s="1038"/>
      <c r="AG53" s="1078">
        <f t="shared" si="0"/>
        <v>0</v>
      </c>
    </row>
    <row r="54" spans="1:34">
      <c r="A54" s="1040"/>
      <c r="B54" s="1075"/>
      <c r="C54" s="1075"/>
      <c r="D54" s="1076"/>
      <c r="R54" s="1077"/>
      <c r="S54" s="1077"/>
      <c r="T54" s="767"/>
      <c r="U54" s="1038"/>
      <c r="V54" s="1038"/>
      <c r="W54" s="1038"/>
      <c r="X54" s="1038"/>
      <c r="Y54" s="1038"/>
      <c r="Z54" s="1038"/>
      <c r="AA54" s="1038"/>
      <c r="AB54" s="1038"/>
      <c r="AC54" s="1038"/>
      <c r="AD54" s="1038"/>
      <c r="AE54" s="1038"/>
      <c r="AF54" s="1038"/>
      <c r="AG54" s="1078">
        <f t="shared" si="0"/>
        <v>0</v>
      </c>
    </row>
    <row r="55" spans="1:34">
      <c r="A55" s="1041" t="s">
        <v>884</v>
      </c>
      <c r="B55" s="1079">
        <f t="shared" ref="B55:AH55" si="1">SUM(B15:B54)</f>
        <v>0</v>
      </c>
      <c r="C55" s="1079">
        <f t="shared" si="1"/>
        <v>0</v>
      </c>
      <c r="D55" s="1080">
        <f t="shared" si="1"/>
        <v>0</v>
      </c>
      <c r="E55" s="1081">
        <f t="shared" si="1"/>
        <v>1588942</v>
      </c>
      <c r="F55" s="1082">
        <f t="shared" si="1"/>
        <v>6205000</v>
      </c>
      <c r="G55" s="1082">
        <f t="shared" si="1"/>
        <v>60000</v>
      </c>
      <c r="H55" s="1082">
        <f t="shared" si="1"/>
        <v>2363750</v>
      </c>
      <c r="I55" s="1082">
        <f t="shared" si="1"/>
        <v>5000000</v>
      </c>
      <c r="J55" s="1082">
        <f t="shared" si="1"/>
        <v>655000</v>
      </c>
      <c r="K55" s="1082">
        <f t="shared" si="1"/>
        <v>1732967</v>
      </c>
      <c r="L55" s="1082">
        <f t="shared" si="1"/>
        <v>16970000</v>
      </c>
      <c r="M55" s="1082">
        <f t="shared" si="1"/>
        <v>1500000</v>
      </c>
      <c r="N55" s="1082">
        <f t="shared" si="1"/>
        <v>442000</v>
      </c>
      <c r="O55" s="1082">
        <f t="shared" si="1"/>
        <v>6100000</v>
      </c>
      <c r="P55" s="1082">
        <f t="shared" si="1"/>
        <v>98828327</v>
      </c>
      <c r="Q55" s="1082">
        <f t="shared" si="1"/>
        <v>800000</v>
      </c>
      <c r="R55" s="1082">
        <f t="shared" si="1"/>
        <v>500000</v>
      </c>
      <c r="S55" s="1082">
        <f t="shared" si="1"/>
        <v>2000000</v>
      </c>
      <c r="T55" s="1082">
        <f t="shared" si="1"/>
        <v>17031266.149999999</v>
      </c>
      <c r="U55" s="1082">
        <f t="shared" si="1"/>
        <v>500000</v>
      </c>
      <c r="V55" s="1082">
        <f t="shared" si="1"/>
        <v>1800000</v>
      </c>
      <c r="W55" s="1082">
        <f t="shared" si="1"/>
        <v>7190396</v>
      </c>
      <c r="X55" s="1082">
        <f t="shared" si="1"/>
        <v>1360000</v>
      </c>
      <c r="Y55" s="1082">
        <f t="shared" si="1"/>
        <v>7200000</v>
      </c>
      <c r="Z55" s="1094">
        <f t="shared" si="1"/>
        <v>18000000</v>
      </c>
      <c r="AA55" s="1082">
        <f t="shared" si="1"/>
        <v>1575000</v>
      </c>
      <c r="AB55" s="1082">
        <f t="shared" si="1"/>
        <v>400000</v>
      </c>
      <c r="AC55" s="1082">
        <f t="shared" si="1"/>
        <v>534437</v>
      </c>
      <c r="AD55" s="1082">
        <f t="shared" si="1"/>
        <v>2150000</v>
      </c>
      <c r="AE55" s="1082">
        <f t="shared" si="1"/>
        <v>6318843</v>
      </c>
      <c r="AF55" s="1082">
        <f t="shared" si="1"/>
        <v>2000000</v>
      </c>
      <c r="AG55" s="1083">
        <f t="shared" si="1"/>
        <v>210805928.14999998</v>
      </c>
      <c r="AH55" s="735">
        <f t="shared" si="1"/>
        <v>0</v>
      </c>
    </row>
    <row r="56" spans="1:34">
      <c r="A56" s="765"/>
      <c r="D56" s="1029"/>
      <c r="E56" s="1051">
        <f>'Note 12 Restricted Fund Movmnt'!$G8</f>
        <v>0</v>
      </c>
      <c r="F56" s="1051">
        <f>'Note 12 Restricted Fund Movmnt'!$G10</f>
        <v>0</v>
      </c>
      <c r="G56" s="1051" t="e">
        <f>'Note 12 Restricted Fund Movmnt'!#REF!</f>
        <v>#REF!</v>
      </c>
      <c r="H56" s="1051" t="e">
        <f>'Note 12 Restricted Fund Movmnt'!#REF!</f>
        <v>#REF!</v>
      </c>
      <c r="I56" s="1051" t="e">
        <f>'Note 12 Restricted Fund Movmnt'!#REF!</f>
        <v>#REF!</v>
      </c>
      <c r="J56" s="1051" t="e">
        <f>'Note 12 Restricted Fund Movmnt'!#REF!</f>
        <v>#REF!</v>
      </c>
      <c r="K56" s="1051" t="e">
        <f>'Note 12 Restricted Fund Movmnt'!#REF!</f>
        <v>#REF!</v>
      </c>
      <c r="L56" s="1051" t="e">
        <f>'Note 12 Restricted Fund Movmnt'!#REF!</f>
        <v>#REF!</v>
      </c>
      <c r="M56" s="1051" t="e">
        <f>'Note 12 Restricted Fund Movmnt'!#REF!</f>
        <v>#REF!</v>
      </c>
      <c r="N56" s="1051" t="e">
        <f>'Note 12 Restricted Fund Movmnt'!#REF!</f>
        <v>#REF!</v>
      </c>
      <c r="O56" s="1051" t="e">
        <f>'Note 12 Restricted Fund Movmnt'!#REF!</f>
        <v>#REF!</v>
      </c>
      <c r="P56" s="1051" t="e">
        <f>'Note 12 Restricted Fund Movmnt'!#REF!</f>
        <v>#REF!</v>
      </c>
      <c r="Q56" s="1051" t="e">
        <f>'Note 12 Restricted Fund Movmnt'!#REF!</f>
        <v>#REF!</v>
      </c>
      <c r="R56" s="1051" t="e">
        <f>'Note 12 Restricted Fund Movmnt'!#REF!</f>
        <v>#REF!</v>
      </c>
      <c r="S56" s="1051" t="e">
        <f>'Note 12 Restricted Fund Movmnt'!#REF!</f>
        <v>#REF!</v>
      </c>
      <c r="T56" s="1051" t="e">
        <f>'Note 12 Restricted Fund Movmnt'!#REF!</f>
        <v>#REF!</v>
      </c>
      <c r="U56" s="1051" t="e">
        <f>'Note 12 Restricted Fund Movmnt'!#REF!</f>
        <v>#REF!</v>
      </c>
      <c r="V56" s="1051" t="e">
        <f>'Note 12 Restricted Fund Movmnt'!#REF!</f>
        <v>#REF!</v>
      </c>
      <c r="W56" s="1051" t="e">
        <f>'Note 12 Restricted Fund Movmnt'!#REF!</f>
        <v>#REF!</v>
      </c>
      <c r="X56" s="1051" t="e">
        <f>'Note 12 Restricted Fund Movmnt'!#REF!</f>
        <v>#REF!</v>
      </c>
      <c r="Y56" s="1051" t="e">
        <f>'Note 12 Restricted Fund Movmnt'!#REF!</f>
        <v>#REF!</v>
      </c>
      <c r="Z56" s="1038" t="e">
        <f>'Note 12 Restricted Fund Movmnt'!#REF!</f>
        <v>#REF!</v>
      </c>
      <c r="AA56" s="1051" t="e">
        <f>'Note 12 Restricted Fund Movmnt'!#REF!</f>
        <v>#REF!</v>
      </c>
      <c r="AB56" s="1051" t="e">
        <f>'Note 12 Restricted Fund Movmnt'!#REF!</f>
        <v>#REF!</v>
      </c>
      <c r="AC56" s="1051" t="e">
        <f>'Note 12 Restricted Fund Movmnt'!#REF!</f>
        <v>#REF!</v>
      </c>
      <c r="AD56" s="1051" t="e">
        <f>'Note 12 Restricted Fund Movmnt'!#REF!</f>
        <v>#REF!</v>
      </c>
      <c r="AE56" s="1051" t="e">
        <f>'Note 12 Restricted Fund Movmnt'!#REF!</f>
        <v>#REF!</v>
      </c>
      <c r="AF56" s="1051">
        <f>'Note 12 Restricted Fund Movmnt'!$G12</f>
        <v>0</v>
      </c>
      <c r="AG56" s="1073" t="e">
        <f>SUM(E56:AF56)</f>
        <v>#REF!</v>
      </c>
    </row>
    <row r="57" spans="1:34" ht="15.75" thickBot="1">
      <c r="A57" s="1084" t="s">
        <v>893</v>
      </c>
      <c r="B57" s="1085">
        <f>B12-B55</f>
        <v>0</v>
      </c>
      <c r="C57" s="1086">
        <f>C12-C55</f>
        <v>0</v>
      </c>
      <c r="D57" s="930">
        <f>D12-D55</f>
        <v>0</v>
      </c>
      <c r="E57" s="1051">
        <f t="shared" ref="E57" si="2">E55-E56</f>
        <v>1588942</v>
      </c>
      <c r="F57" s="1051">
        <f t="shared" ref="F57" si="3">F55-F56</f>
        <v>6205000</v>
      </c>
      <c r="G57" s="1051" t="e">
        <f t="shared" ref="G57" si="4">G55-G56</f>
        <v>#REF!</v>
      </c>
      <c r="H57" s="1051" t="e">
        <f t="shared" ref="H57" si="5">H55-H56</f>
        <v>#REF!</v>
      </c>
      <c r="I57" s="1051" t="e">
        <f t="shared" ref="I57" si="6">I55-I56</f>
        <v>#REF!</v>
      </c>
      <c r="J57" s="1051" t="e">
        <f t="shared" ref="J57" si="7">J55-J56</f>
        <v>#REF!</v>
      </c>
      <c r="K57" s="1051" t="e">
        <f t="shared" ref="K57" si="8">K55-K56</f>
        <v>#REF!</v>
      </c>
      <c r="L57" s="1051" t="e">
        <f t="shared" ref="L57:M57" si="9">L55-L56</f>
        <v>#REF!</v>
      </c>
      <c r="M57" s="1051" t="e">
        <f t="shared" si="9"/>
        <v>#REF!</v>
      </c>
      <c r="N57" s="1051" t="e">
        <f t="shared" ref="N57" si="10">N55-N56</f>
        <v>#REF!</v>
      </c>
      <c r="O57" s="1051" t="e">
        <f t="shared" ref="O57:AF57" si="11">O55-O56</f>
        <v>#REF!</v>
      </c>
      <c r="P57" s="1051" t="e">
        <f t="shared" si="11"/>
        <v>#REF!</v>
      </c>
      <c r="Q57" s="1051" t="e">
        <f t="shared" si="11"/>
        <v>#REF!</v>
      </c>
      <c r="R57" s="1051" t="e">
        <f t="shared" si="11"/>
        <v>#REF!</v>
      </c>
      <c r="S57" s="1051" t="e">
        <f t="shared" si="11"/>
        <v>#REF!</v>
      </c>
      <c r="T57" s="1051" t="e">
        <f t="shared" si="11"/>
        <v>#REF!</v>
      </c>
      <c r="U57" s="1051" t="e">
        <f t="shared" si="11"/>
        <v>#REF!</v>
      </c>
      <c r="V57" s="1051" t="e">
        <f t="shared" si="11"/>
        <v>#REF!</v>
      </c>
      <c r="W57" s="1051" t="e">
        <f t="shared" si="11"/>
        <v>#REF!</v>
      </c>
      <c r="X57" s="1051" t="e">
        <f t="shared" si="11"/>
        <v>#REF!</v>
      </c>
      <c r="Y57" s="1051" t="e">
        <f t="shared" si="11"/>
        <v>#REF!</v>
      </c>
      <c r="Z57" s="1051" t="e">
        <f t="shared" si="11"/>
        <v>#REF!</v>
      </c>
      <c r="AA57" s="1051" t="e">
        <f t="shared" si="11"/>
        <v>#REF!</v>
      </c>
      <c r="AB57" s="1051" t="e">
        <f t="shared" si="11"/>
        <v>#REF!</v>
      </c>
      <c r="AC57" s="1051" t="e">
        <f t="shared" si="11"/>
        <v>#REF!</v>
      </c>
      <c r="AD57" s="1051" t="e">
        <f t="shared" si="11"/>
        <v>#REF!</v>
      </c>
      <c r="AE57" s="1051" t="e">
        <f t="shared" si="11"/>
        <v>#REF!</v>
      </c>
      <c r="AF57" s="1051">
        <f t="shared" si="11"/>
        <v>2000000</v>
      </c>
    </row>
    <row r="58" spans="1:34" ht="26.25" customHeight="1" thickBot="1">
      <c r="A58" s="1353" t="s">
        <v>776</v>
      </c>
      <c r="B58" s="1325"/>
      <c r="C58" s="1325"/>
      <c r="D58" s="1354"/>
      <c r="N58" s="1077"/>
      <c r="O58" s="1077"/>
    </row>
    <row r="59" spans="1:34">
      <c r="A59" s="840" t="s">
        <v>839</v>
      </c>
      <c r="B59" s="1042"/>
      <c r="C59" s="1042"/>
      <c r="D59" s="1043"/>
      <c r="K59" s="1051"/>
      <c r="R59" s="1051"/>
      <c r="S59" s="1051"/>
    </row>
    <row r="60" spans="1:34">
      <c r="A60" s="758" t="s">
        <v>1251</v>
      </c>
      <c r="B60" s="1044" t="s">
        <v>20</v>
      </c>
      <c r="C60" s="1044"/>
      <c r="D60" s="1045"/>
      <c r="R60" s="1051"/>
      <c r="S60" s="1051"/>
    </row>
    <row r="61" spans="1:34">
      <c r="A61" s="765" t="s">
        <v>21</v>
      </c>
      <c r="B61" s="1033" t="s">
        <v>1256</v>
      </c>
      <c r="C61" s="1033"/>
      <c r="D61" s="1046"/>
      <c r="R61" s="1051"/>
      <c r="S61" s="1051"/>
    </row>
    <row r="62" spans="1:34">
      <c r="A62" s="765" t="s">
        <v>1252</v>
      </c>
      <c r="B62" s="1033"/>
      <c r="C62" s="1033"/>
      <c r="D62" s="1046"/>
      <c r="R62" s="1051"/>
      <c r="S62" s="1051"/>
    </row>
    <row r="63" spans="1:34">
      <c r="A63" s="765"/>
      <c r="B63" s="1033"/>
      <c r="C63" s="1033"/>
      <c r="D63" s="1046"/>
    </row>
    <row r="64" spans="1:34">
      <c r="A64" s="765"/>
      <c r="B64" s="1033"/>
      <c r="C64" s="1033"/>
      <c r="D64" s="1046"/>
    </row>
    <row r="65" spans="1:36">
      <c r="A65" s="790"/>
      <c r="B65" s="1033"/>
      <c r="C65" s="1033"/>
      <c r="D65" s="1046"/>
    </row>
    <row r="66" spans="1:36">
      <c r="A66" s="793"/>
      <c r="B66" s="759"/>
      <c r="C66" s="1044"/>
      <c r="D66" s="764"/>
      <c r="AJ66" s="1208"/>
    </row>
    <row r="67" spans="1:36" ht="12.75" customHeight="1">
      <c r="A67" s="793" t="s">
        <v>24</v>
      </c>
      <c r="B67" s="759" t="s">
        <v>832</v>
      </c>
      <c r="C67" s="844"/>
      <c r="D67" s="794" t="s">
        <v>1088</v>
      </c>
    </row>
    <row r="68" spans="1:36">
      <c r="A68" s="793" t="s">
        <v>1259</v>
      </c>
      <c r="B68" s="785" t="s">
        <v>1257</v>
      </c>
      <c r="C68" s="1033"/>
      <c r="D68" s="782" t="s">
        <v>1257</v>
      </c>
    </row>
    <row r="69" spans="1:36">
      <c r="A69" s="852" t="s">
        <v>1211</v>
      </c>
      <c r="B69" s="785"/>
      <c r="C69" s="1033"/>
      <c r="D69" s="782"/>
    </row>
    <row r="70" spans="1:36">
      <c r="A70" s="850" t="s">
        <v>1254</v>
      </c>
      <c r="B70" s="1033"/>
      <c r="C70" s="1033"/>
      <c r="D70" s="1046"/>
    </row>
    <row r="71" spans="1:36" ht="15.75" thickBot="1">
      <c r="A71" s="851" t="s">
        <v>1260</v>
      </c>
      <c r="B71" s="1047"/>
      <c r="C71" s="1047"/>
      <c r="D71" s="1048"/>
    </row>
  </sheetData>
  <mergeCells count="6">
    <mergeCell ref="B7:D7"/>
    <mergeCell ref="A58:D58"/>
    <mergeCell ref="A1:D1"/>
    <mergeCell ref="A2:D2"/>
    <mergeCell ref="A3:D3"/>
    <mergeCell ref="A4:D4"/>
  </mergeCells>
  <printOptions horizontalCentered="1"/>
  <pageMargins left="0.70866141732283472" right="0.70866141732283472" top="0.74803149606299213" bottom="0.74803149606299213" header="0.31496062992125984" footer="0.31496062992125984"/>
  <pageSetup paperSize="9" scale="7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38"/>
  <sheetViews>
    <sheetView showGridLines="0" zoomScaleSheetLayoutView="100" workbookViewId="0">
      <selection activeCell="B18" sqref="B18"/>
    </sheetView>
  </sheetViews>
  <sheetFormatPr defaultColWidth="9.140625" defaultRowHeight="15"/>
  <cols>
    <col min="1" max="1" width="63.140625" style="900" customWidth="1"/>
    <col min="2" max="2" width="13.5703125" style="900" customWidth="1"/>
    <col min="3" max="3" width="12.5703125" style="900" customWidth="1"/>
    <col min="4" max="4" width="13.5703125" style="869" customWidth="1"/>
    <col min="5" max="5" width="12.42578125" style="869" customWidth="1"/>
    <col min="6" max="16384" width="9.140625" style="869"/>
  </cols>
  <sheetData>
    <row r="1" spans="1:7" s="865" customFormat="1" ht="19.5" customHeight="1" thickBot="1">
      <c r="A1" s="1358" t="s">
        <v>1246</v>
      </c>
      <c r="B1" s="1359"/>
      <c r="C1" s="1359"/>
      <c r="D1" s="1359"/>
      <c r="E1" s="1360"/>
    </row>
    <row r="2" spans="1:7" ht="19.5" customHeight="1" thickBot="1">
      <c r="A2" s="1361" t="s">
        <v>60</v>
      </c>
      <c r="B2" s="1362"/>
      <c r="C2" s="1362"/>
      <c r="D2" s="1362"/>
      <c r="E2" s="1363"/>
    </row>
    <row r="3" spans="1:7" s="872" customFormat="1" ht="9.9499999999999993" customHeight="1">
      <c r="A3" s="870"/>
      <c r="B3" s="871"/>
      <c r="C3" s="871"/>
      <c r="E3" s="873"/>
    </row>
    <row r="4" spans="1:7" ht="14.45" customHeight="1">
      <c r="A4" s="874" t="s">
        <v>1153</v>
      </c>
      <c r="B4" s="875"/>
      <c r="C4" s="875"/>
      <c r="E4" s="876"/>
    </row>
    <row r="5" spans="1:7" ht="9.9499999999999993" customHeight="1" thickBot="1">
      <c r="A5" s="877"/>
      <c r="B5" s="866"/>
      <c r="C5" s="866"/>
      <c r="D5" s="867"/>
      <c r="E5" s="868"/>
    </row>
    <row r="6" spans="1:7" ht="14.45" customHeight="1">
      <c r="A6" s="740" t="s">
        <v>26</v>
      </c>
      <c r="B6" s="1369" t="s">
        <v>1216</v>
      </c>
      <c r="C6" s="1370"/>
      <c r="D6" s="1369" t="s">
        <v>1092</v>
      </c>
      <c r="E6" s="1371"/>
    </row>
    <row r="7" spans="1:7" ht="30">
      <c r="A7" s="745"/>
      <c r="B7" s="878" t="s">
        <v>568</v>
      </c>
      <c r="C7" s="879" t="s">
        <v>1148</v>
      </c>
      <c r="D7" s="878" t="s">
        <v>568</v>
      </c>
      <c r="E7" s="750" t="s">
        <v>1148</v>
      </c>
    </row>
    <row r="8" spans="1:7">
      <c r="A8" s="880" t="s">
        <v>67</v>
      </c>
      <c r="B8" s="881"/>
      <c r="C8" s="882"/>
      <c r="D8" s="883"/>
      <c r="E8" s="884"/>
      <c r="F8" s="865"/>
      <c r="G8" s="865"/>
    </row>
    <row r="9" spans="1:7" ht="13.15" customHeight="1">
      <c r="A9" s="885" t="s">
        <v>1213</v>
      </c>
      <c r="B9" s="886"/>
      <c r="C9" s="887"/>
      <c r="D9" s="888"/>
      <c r="E9" s="889"/>
    </row>
    <row r="10" spans="1:7" ht="9.9499999999999993" customHeight="1">
      <c r="A10" s="890"/>
      <c r="B10" s="891"/>
      <c r="C10" s="887"/>
      <c r="D10" s="888"/>
      <c r="E10" s="889"/>
    </row>
    <row r="11" spans="1:7">
      <c r="A11" s="885" t="s">
        <v>1196</v>
      </c>
      <c r="B11" s="891"/>
      <c r="C11" s="887"/>
      <c r="D11" s="888"/>
      <c r="E11" s="889"/>
    </row>
    <row r="12" spans="1:7" ht="15" customHeight="1">
      <c r="A12" s="885" t="s">
        <v>1213</v>
      </c>
      <c r="B12" s="891"/>
      <c r="C12" s="887"/>
      <c r="D12" s="888"/>
      <c r="E12" s="889"/>
    </row>
    <row r="13" spans="1:7" ht="9.9499999999999993" customHeight="1">
      <c r="A13" s="892"/>
      <c r="B13" s="891"/>
      <c r="C13" s="887"/>
      <c r="D13" s="888"/>
      <c r="E13" s="889"/>
    </row>
    <row r="14" spans="1:7">
      <c r="A14" s="885" t="s">
        <v>68</v>
      </c>
      <c r="B14" s="891"/>
      <c r="C14" s="887"/>
      <c r="D14" s="888"/>
      <c r="E14" s="889"/>
    </row>
    <row r="15" spans="1:7">
      <c r="A15" s="885" t="s">
        <v>1213</v>
      </c>
      <c r="B15" s="891"/>
      <c r="C15" s="887"/>
      <c r="D15" s="888"/>
      <c r="E15" s="889"/>
    </row>
    <row r="16" spans="1:7">
      <c r="A16" s="893"/>
      <c r="B16" s="881"/>
      <c r="C16" s="882"/>
      <c r="D16" s="883"/>
      <c r="E16" s="884"/>
    </row>
    <row r="17" spans="1:7" ht="9.9499999999999993" customHeight="1">
      <c r="A17" s="892"/>
      <c r="B17" s="894"/>
      <c r="C17" s="894"/>
      <c r="D17" s="895"/>
      <c r="E17" s="896"/>
    </row>
    <row r="18" spans="1:7" ht="15.75" thickBot="1">
      <c r="A18" s="897" t="s">
        <v>43</v>
      </c>
      <c r="B18" s="898">
        <f>+B15</f>
        <v>0</v>
      </c>
      <c r="C18" s="898">
        <f>+C15</f>
        <v>0</v>
      </c>
      <c r="D18" s="898">
        <f>+D15</f>
        <v>0</v>
      </c>
      <c r="E18" s="899">
        <f>+E15</f>
        <v>0</v>
      </c>
    </row>
    <row r="19" spans="1:7">
      <c r="A19" s="1097"/>
      <c r="B19" s="929"/>
      <c r="C19" s="929"/>
      <c r="D19" s="929"/>
      <c r="E19" s="929"/>
    </row>
    <row r="20" spans="1:7">
      <c r="A20" s="1098" t="s">
        <v>59</v>
      </c>
      <c r="D20" s="900"/>
    </row>
    <row r="21" spans="1:7">
      <c r="A21" s="1372" t="s">
        <v>69</v>
      </c>
      <c r="B21" s="1372"/>
      <c r="C21" s="1372"/>
      <c r="D21" s="1372"/>
      <c r="E21" s="1372"/>
      <c r="F21" s="1372"/>
      <c r="G21" s="1372"/>
    </row>
    <row r="22" spans="1:7" ht="30">
      <c r="A22" s="901" t="s">
        <v>26</v>
      </c>
      <c r="B22" s="902" t="s">
        <v>70</v>
      </c>
      <c r="C22" s="902" t="s">
        <v>71</v>
      </c>
      <c r="D22" s="902" t="s">
        <v>72</v>
      </c>
      <c r="E22" s="903"/>
      <c r="F22" s="903"/>
      <c r="G22" s="903"/>
    </row>
    <row r="23" spans="1:7">
      <c r="A23" s="904" t="s">
        <v>833</v>
      </c>
      <c r="B23" s="904"/>
      <c r="C23" s="905"/>
      <c r="D23" s="906"/>
      <c r="E23" s="907"/>
      <c r="F23" s="907"/>
    </row>
    <row r="24" spans="1:7">
      <c r="A24" s="908"/>
      <c r="B24" s="908"/>
      <c r="C24" s="909"/>
      <c r="D24" s="883"/>
      <c r="E24" s="907"/>
      <c r="F24" s="907"/>
    </row>
    <row r="25" spans="1:7">
      <c r="A25" s="908" t="s">
        <v>1217</v>
      </c>
      <c r="B25" s="908"/>
      <c r="C25" s="909"/>
      <c r="D25" s="883"/>
      <c r="E25" s="907"/>
      <c r="F25" s="907"/>
    </row>
    <row r="26" spans="1:7">
      <c r="A26" s="910" t="s">
        <v>74</v>
      </c>
      <c r="B26" s="911"/>
      <c r="C26" s="912"/>
      <c r="D26" s="913"/>
      <c r="E26" s="914"/>
      <c r="F26" s="914"/>
      <c r="G26" s="915"/>
    </row>
    <row r="27" spans="1:7">
      <c r="A27" s="910" t="s">
        <v>1214</v>
      </c>
      <c r="B27" s="911"/>
      <c r="C27" s="912"/>
      <c r="D27" s="913"/>
      <c r="E27" s="914"/>
      <c r="F27" s="914"/>
      <c r="G27" s="915"/>
    </row>
    <row r="28" spans="1:7">
      <c r="A28" s="910"/>
      <c r="B28" s="916"/>
      <c r="C28" s="912"/>
      <c r="D28" s="913"/>
      <c r="E28" s="907"/>
      <c r="F28" s="907"/>
    </row>
    <row r="29" spans="1:7">
      <c r="A29" s="908" t="s">
        <v>1093</v>
      </c>
      <c r="B29" s="916"/>
      <c r="C29" s="912"/>
      <c r="D29" s="913"/>
      <c r="E29" s="907"/>
      <c r="F29" s="907"/>
    </row>
    <row r="30" spans="1:7">
      <c r="A30" s="910" t="s">
        <v>74</v>
      </c>
      <c r="B30" s="888"/>
      <c r="C30" s="917"/>
      <c r="D30" s="913"/>
      <c r="E30" s="918"/>
      <c r="F30" s="915"/>
      <c r="G30" s="915"/>
    </row>
    <row r="31" spans="1:7">
      <c r="A31" s="919" t="s">
        <v>1214</v>
      </c>
      <c r="B31" s="920"/>
      <c r="C31" s="921"/>
      <c r="D31" s="922"/>
      <c r="E31" s="918"/>
      <c r="F31" s="915"/>
      <c r="G31" s="915"/>
    </row>
    <row r="32" spans="1:7">
      <c r="A32" s="1099"/>
      <c r="B32" s="1100"/>
      <c r="C32" s="1101"/>
      <c r="D32" s="1102"/>
      <c r="E32" s="918"/>
      <c r="F32" s="915"/>
      <c r="G32" s="915"/>
    </row>
    <row r="33" spans="1:5">
      <c r="A33" s="1364" t="s">
        <v>834</v>
      </c>
      <c r="B33" s="1364"/>
      <c r="C33" s="1364"/>
      <c r="D33" s="1364"/>
      <c r="E33" s="1364"/>
    </row>
    <row r="34" spans="1:5">
      <c r="A34" s="1365" t="s">
        <v>569</v>
      </c>
      <c r="B34" s="1367" t="s">
        <v>1216</v>
      </c>
      <c r="C34" s="1368"/>
      <c r="D34" s="1367" t="s">
        <v>1092</v>
      </c>
      <c r="E34" s="1368"/>
    </row>
    <row r="35" spans="1:5" ht="45">
      <c r="A35" s="1366"/>
      <c r="B35" s="902" t="s">
        <v>573</v>
      </c>
      <c r="C35" s="902" t="s">
        <v>75</v>
      </c>
      <c r="D35" s="902" t="s">
        <v>573</v>
      </c>
      <c r="E35" s="902" t="s">
        <v>75</v>
      </c>
    </row>
    <row r="36" spans="1:5">
      <c r="A36" s="923" t="s">
        <v>73</v>
      </c>
      <c r="B36" s="924"/>
      <c r="C36" s="924"/>
      <c r="D36" s="924"/>
      <c r="E36" s="924"/>
    </row>
    <row r="37" spans="1:5">
      <c r="A37" s="925"/>
      <c r="B37" s="924"/>
      <c r="C37" s="926"/>
      <c r="D37" s="924"/>
      <c r="E37" s="926"/>
    </row>
    <row r="38" spans="1:5">
      <c r="A38" s="925"/>
      <c r="B38" s="924"/>
      <c r="C38" s="926"/>
      <c r="D38" s="924"/>
      <c r="E38" s="926"/>
    </row>
  </sheetData>
  <mergeCells count="9">
    <mergeCell ref="A1:E1"/>
    <mergeCell ref="A2:E2"/>
    <mergeCell ref="A33:E33"/>
    <mergeCell ref="A34:A35"/>
    <mergeCell ref="B34:C34"/>
    <mergeCell ref="D34:E34"/>
    <mergeCell ref="B6:C6"/>
    <mergeCell ref="D6:E6"/>
    <mergeCell ref="A21:G21"/>
  </mergeCells>
  <printOptions horizontalCentered="1"/>
  <pageMargins left="0.51181102362204722" right="0.51181102362204722" top="0.23622047244094491" bottom="0.23622047244094491" header="0.51181102362204722" footer="0.51181102362204722"/>
  <pageSetup scale="71"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J141"/>
  <sheetViews>
    <sheetView showGridLines="0" zoomScaleNormal="100" zoomScaleSheetLayoutView="100" workbookViewId="0">
      <selection activeCell="A5" sqref="A5"/>
    </sheetView>
  </sheetViews>
  <sheetFormatPr defaultColWidth="9.140625" defaultRowHeight="15"/>
  <cols>
    <col min="1" max="1" width="53.7109375" style="777" customWidth="1"/>
    <col min="2" max="2" width="19" style="1103" customWidth="1"/>
    <col min="3" max="3" width="18.42578125" style="1103" customWidth="1"/>
    <col min="4" max="4" width="12.85546875" style="935" bestFit="1" customWidth="1"/>
    <col min="5" max="5" width="14.5703125" style="735" bestFit="1" customWidth="1"/>
    <col min="6" max="6" width="13.85546875" style="735" bestFit="1" customWidth="1"/>
    <col min="7" max="7" width="14.85546875" style="735" bestFit="1" customWidth="1"/>
    <col min="8" max="16384" width="9.140625" style="735"/>
  </cols>
  <sheetData>
    <row r="1" spans="1:3" ht="16.5" thickBot="1">
      <c r="A1" s="1339" t="s">
        <v>1246</v>
      </c>
      <c r="B1" s="1340"/>
      <c r="C1" s="1341"/>
    </row>
    <row r="2" spans="1:3" ht="15.75" thickBot="1">
      <c r="A2" s="1330" t="s">
        <v>60</v>
      </c>
      <c r="B2" s="1331"/>
      <c r="C2" s="1332"/>
    </row>
    <row r="3" spans="1:3" ht="15.75" thickBot="1"/>
    <row r="4" spans="1:3">
      <c r="A4" s="840" t="s">
        <v>26</v>
      </c>
      <c r="B4" s="1152" t="s">
        <v>1216</v>
      </c>
      <c r="C4" s="1153" t="s">
        <v>1092</v>
      </c>
    </row>
    <row r="5" spans="1:3" ht="15.75" thickBot="1">
      <c r="A5" s="1104"/>
      <c r="B5" s="927" t="s">
        <v>1148</v>
      </c>
      <c r="C5" s="928" t="s">
        <v>1148</v>
      </c>
    </row>
    <row r="6" spans="1:3" ht="17.25" customHeight="1">
      <c r="A6" s="735"/>
      <c r="B6" s="1105"/>
      <c r="C6" s="1105"/>
    </row>
    <row r="7" spans="1:3" ht="15.75" thickBot="1">
      <c r="A7" s="1096" t="s">
        <v>1154</v>
      </c>
      <c r="B7" s="932"/>
      <c r="C7" s="932"/>
    </row>
    <row r="8" spans="1:3" ht="12.75" customHeight="1">
      <c r="A8" s="1106" t="s">
        <v>1121</v>
      </c>
      <c r="B8" s="937"/>
      <c r="C8" s="1107"/>
    </row>
    <row r="9" spans="1:3">
      <c r="A9" s="765" t="s">
        <v>77</v>
      </c>
      <c r="B9" s="934"/>
      <c r="C9" s="1049"/>
    </row>
    <row r="10" spans="1:3">
      <c r="A10" s="765" t="s">
        <v>1118</v>
      </c>
      <c r="B10" s="941"/>
      <c r="C10" s="1110"/>
    </row>
    <row r="11" spans="1:3">
      <c r="A11" s="758" t="s">
        <v>1120</v>
      </c>
      <c r="B11" s="1108">
        <f>SUM(B9:B10)</f>
        <v>0</v>
      </c>
      <c r="C11" s="1111">
        <f>SUM(C9:C10)</f>
        <v>0</v>
      </c>
    </row>
    <row r="12" spans="1:3">
      <c r="A12" s="765"/>
      <c r="B12" s="1109"/>
      <c r="C12" s="1110"/>
    </row>
    <row r="13" spans="1:3">
      <c r="A13" s="1203" t="s">
        <v>1089</v>
      </c>
      <c r="B13" s="1109"/>
      <c r="C13" s="1110"/>
    </row>
    <row r="14" spans="1:3">
      <c r="A14" s="1204" t="s">
        <v>1166</v>
      </c>
      <c r="B14" s="1109"/>
      <c r="C14" s="1110"/>
    </row>
    <row r="15" spans="1:3">
      <c r="A15" s="1205" t="s">
        <v>1122</v>
      </c>
      <c r="B15" s="1109"/>
      <c r="C15" s="1110"/>
    </row>
    <row r="16" spans="1:3">
      <c r="A16" s="1205" t="s">
        <v>1123</v>
      </c>
      <c r="B16" s="1109"/>
      <c r="C16" s="1110"/>
    </row>
    <row r="17" spans="1:6">
      <c r="A17" s="1206" t="s">
        <v>1124</v>
      </c>
      <c r="B17" s="1108">
        <f>B14+B15-B16</f>
        <v>0</v>
      </c>
      <c r="C17" s="1111">
        <f>C14+C15-C16</f>
        <v>0</v>
      </c>
    </row>
    <row r="18" spans="1:6">
      <c r="A18" s="1206"/>
      <c r="B18" s="1112"/>
      <c r="C18" s="1113"/>
    </row>
    <row r="19" spans="1:6">
      <c r="A19" s="765" t="s">
        <v>1183</v>
      </c>
      <c r="B19" s="1109"/>
      <c r="C19" s="1110"/>
    </row>
    <row r="20" spans="1:6">
      <c r="A20" s="765"/>
      <c r="B20" s="1109"/>
      <c r="C20" s="1110"/>
    </row>
    <row r="21" spans="1:6" ht="15.75" thickBot="1">
      <c r="A21" s="1114" t="s">
        <v>1125</v>
      </c>
      <c r="B21" s="807">
        <f>B11+B17+B19</f>
        <v>0</v>
      </c>
      <c r="C21" s="931">
        <f>C11+C17+C19</f>
        <v>0</v>
      </c>
    </row>
    <row r="22" spans="1:6" ht="17.25" customHeight="1"/>
    <row r="23" spans="1:6" ht="17.25" customHeight="1"/>
    <row r="24" spans="1:6" ht="15.75" thickBot="1">
      <c r="A24" s="1342" t="s">
        <v>1155</v>
      </c>
      <c r="B24" s="1342"/>
      <c r="C24" s="1115"/>
    </row>
    <row r="25" spans="1:6">
      <c r="A25" s="1116" t="s">
        <v>662</v>
      </c>
      <c r="B25" s="937"/>
      <c r="C25" s="1107"/>
    </row>
    <row r="26" spans="1:6">
      <c r="A26" s="1117" t="s">
        <v>852</v>
      </c>
      <c r="B26" s="934"/>
      <c r="C26" s="1049"/>
      <c r="E26" s="767"/>
      <c r="F26" s="759"/>
    </row>
    <row r="27" spans="1:6">
      <c r="A27" s="1117" t="s">
        <v>853</v>
      </c>
      <c r="B27" s="934"/>
      <c r="C27" s="1049"/>
    </row>
    <row r="28" spans="1:6">
      <c r="A28" s="1117" t="s">
        <v>1204</v>
      </c>
      <c r="B28" s="934"/>
      <c r="C28" s="1049"/>
    </row>
    <row r="29" spans="1:6" ht="30">
      <c r="A29" s="1117" t="s">
        <v>1193</v>
      </c>
      <c r="B29" s="1118"/>
      <c r="C29" s="1119"/>
    </row>
    <row r="30" spans="1:6">
      <c r="A30" s="1117" t="s">
        <v>1119</v>
      </c>
      <c r="B30" s="1118"/>
      <c r="C30" s="1119"/>
    </row>
    <row r="31" spans="1:6">
      <c r="A31" s="1117"/>
      <c r="B31" s="1118"/>
      <c r="C31" s="1119"/>
    </row>
    <row r="32" spans="1:6" ht="15.75" thickBot="1">
      <c r="A32" s="1120" t="s">
        <v>1170</v>
      </c>
      <c r="B32" s="807">
        <f>SUM(B26:B31)</f>
        <v>0</v>
      </c>
      <c r="C32" s="931">
        <f>SUM(C26:C31)</f>
        <v>0</v>
      </c>
      <c r="F32" s="1121"/>
    </row>
    <row r="33" spans="1:6">
      <c r="A33" s="1096"/>
      <c r="B33" s="1122"/>
      <c r="C33" s="1122"/>
      <c r="F33" s="1121"/>
    </row>
    <row r="34" spans="1:6">
      <c r="A34" s="1096"/>
      <c r="B34" s="1122"/>
      <c r="C34" s="1122"/>
      <c r="F34" s="1121"/>
    </row>
    <row r="35" spans="1:6" ht="15.75" thickBot="1">
      <c r="A35" s="785" t="s">
        <v>1162</v>
      </c>
      <c r="B35" s="1115"/>
      <c r="C35" s="1123"/>
    </row>
    <row r="36" spans="1:6">
      <c r="A36" s="1124" t="s">
        <v>1187</v>
      </c>
      <c r="B36" s="937"/>
      <c r="C36" s="1125"/>
      <c r="E36" s="821"/>
    </row>
    <row r="37" spans="1:6">
      <c r="A37" s="1040"/>
      <c r="B37" s="940"/>
      <c r="C37" s="1126"/>
    </row>
    <row r="38" spans="1:6" ht="15.75" thickBot="1">
      <c r="A38" s="1127" t="s">
        <v>1171</v>
      </c>
      <c r="B38" s="1128">
        <f>SUM(B36)</f>
        <v>0</v>
      </c>
      <c r="C38" s="1129">
        <f>SUM(C36)</f>
        <v>0</v>
      </c>
    </row>
    <row r="39" spans="1:6">
      <c r="A39" s="1096"/>
      <c r="B39" s="1122"/>
      <c r="C39" s="1122"/>
      <c r="F39" s="1121"/>
    </row>
    <row r="40" spans="1:6">
      <c r="A40" s="1096"/>
      <c r="B40" s="1122"/>
      <c r="C40" s="1122"/>
      <c r="F40" s="1121"/>
    </row>
    <row r="41" spans="1:6">
      <c r="A41" s="1096"/>
      <c r="B41" s="1122"/>
      <c r="C41" s="1122"/>
      <c r="F41" s="1121"/>
    </row>
    <row r="42" spans="1:6">
      <c r="A42" s="1096"/>
      <c r="B42" s="1122"/>
      <c r="C42" s="1122"/>
      <c r="F42" s="1121"/>
    </row>
    <row r="43" spans="1:6">
      <c r="A43" s="1096"/>
      <c r="B43" s="1122"/>
      <c r="C43" s="1122"/>
      <c r="F43" s="1121"/>
    </row>
    <row r="44" spans="1:6">
      <c r="A44" s="1096"/>
      <c r="B44" s="1122"/>
      <c r="C44" s="1122"/>
      <c r="F44" s="1121"/>
    </row>
    <row r="45" spans="1:6">
      <c r="A45" s="1096"/>
      <c r="B45" s="1122"/>
      <c r="C45" s="1122"/>
      <c r="F45" s="1121"/>
    </row>
    <row r="46" spans="1:6">
      <c r="A46" s="1096"/>
      <c r="B46" s="1122"/>
      <c r="C46" s="1122"/>
      <c r="F46" s="1121"/>
    </row>
    <row r="47" spans="1:6">
      <c r="A47" s="1096"/>
      <c r="B47" s="1122"/>
      <c r="C47" s="1122"/>
      <c r="F47" s="1121"/>
    </row>
    <row r="48" spans="1:6">
      <c r="A48" s="1096"/>
      <c r="B48" s="1122"/>
      <c r="C48" s="1122"/>
      <c r="F48" s="1121"/>
    </row>
    <row r="49" spans="1:7">
      <c r="A49" s="1096"/>
      <c r="B49" s="1122"/>
      <c r="C49" s="1122"/>
      <c r="F49" s="1121"/>
    </row>
    <row r="50" spans="1:7">
      <c r="A50" s="1096"/>
      <c r="B50" s="1122"/>
      <c r="C50" s="1122"/>
      <c r="F50" s="1121"/>
    </row>
    <row r="51" spans="1:7">
      <c r="A51" s="1096"/>
      <c r="B51" s="1122"/>
      <c r="C51" s="1122"/>
      <c r="F51" s="1121"/>
    </row>
    <row r="52" spans="1:7" ht="15.75" thickBot="1">
      <c r="A52" s="1342" t="s">
        <v>1163</v>
      </c>
      <c r="B52" s="1342"/>
      <c r="C52" s="1130"/>
    </row>
    <row r="53" spans="1:7">
      <c r="A53" s="1131" t="s">
        <v>1127</v>
      </c>
      <c r="B53" s="937"/>
      <c r="C53" s="1125"/>
    </row>
    <row r="54" spans="1:7">
      <c r="A54" s="1132" t="s">
        <v>85</v>
      </c>
      <c r="B54" s="934" t="e">
        <f>#REF!</f>
        <v>#REF!</v>
      </c>
      <c r="C54" s="1119">
        <v>0</v>
      </c>
      <c r="E54" s="767"/>
      <c r="F54" s="773"/>
    </row>
    <row r="55" spans="1:7">
      <c r="A55" s="1132" t="s">
        <v>1185</v>
      </c>
      <c r="B55" s="934" t="e">
        <f>SUM(#REF!)-SUM(#REF!)</f>
        <v>#REF!</v>
      </c>
      <c r="C55" s="1119">
        <v>20887597.970000003</v>
      </c>
      <c r="E55" s="767"/>
      <c r="F55" s="773"/>
    </row>
    <row r="56" spans="1:7" ht="30">
      <c r="A56" s="1132" t="s">
        <v>1186</v>
      </c>
      <c r="B56" s="934" t="e">
        <f>#REF!+#REF!-#REF!-#REF!+#REF!+#REF!-#REF!-#REF!-B63-B36</f>
        <v>#REF!</v>
      </c>
      <c r="C56" s="1119">
        <v>81988332</v>
      </c>
      <c r="E56" s="767"/>
      <c r="F56" s="773"/>
    </row>
    <row r="57" spans="1:7">
      <c r="A57" s="1133" t="s">
        <v>1128</v>
      </c>
      <c r="B57" s="1134" t="e">
        <f>SUM(B54:B56)</f>
        <v>#REF!</v>
      </c>
      <c r="C57" s="1135">
        <f>SUM(C54:C56)</f>
        <v>102875929.97</v>
      </c>
      <c r="E57" s="767"/>
      <c r="F57" s="773"/>
    </row>
    <row r="58" spans="1:7">
      <c r="A58" s="1136" t="s">
        <v>1129</v>
      </c>
      <c r="B58" s="934"/>
      <c r="C58" s="1119"/>
      <c r="E58" s="767"/>
      <c r="F58" s="773"/>
      <c r="G58" s="773"/>
    </row>
    <row r="59" spans="1:7">
      <c r="A59" s="1133" t="s">
        <v>835</v>
      </c>
      <c r="B59" s="934"/>
      <c r="C59" s="1119"/>
      <c r="E59" s="767"/>
      <c r="F59" s="773"/>
    </row>
    <row r="60" spans="1:7">
      <c r="A60" s="1132" t="s">
        <v>1168</v>
      </c>
      <c r="B60" s="934" t="e">
        <f>SUM(#REF!)-SUM(#REF!)</f>
        <v>#REF!</v>
      </c>
      <c r="C60" s="1119">
        <v>1875030.6</v>
      </c>
      <c r="E60" s="767"/>
      <c r="F60" s="773"/>
    </row>
    <row r="61" spans="1:7">
      <c r="A61" s="1136" t="s">
        <v>1167</v>
      </c>
      <c r="B61" s="934"/>
      <c r="C61" s="1119"/>
    </row>
    <row r="62" spans="1:7">
      <c r="A62" s="1132" t="s">
        <v>1190</v>
      </c>
      <c r="B62" s="934" t="e">
        <f>#REF!-#REF!</f>
        <v>#REF!</v>
      </c>
      <c r="C62" s="1119">
        <v>55000</v>
      </c>
    </row>
    <row r="63" spans="1:7" ht="30">
      <c r="A63" s="1132" t="s">
        <v>1184</v>
      </c>
      <c r="B63" s="934" t="e">
        <f>#REF!</f>
        <v>#REF!</v>
      </c>
      <c r="C63" s="1119">
        <v>143915514</v>
      </c>
    </row>
    <row r="64" spans="1:7">
      <c r="A64" s="1132" t="s">
        <v>1169</v>
      </c>
      <c r="B64" s="934" t="e">
        <f>#REF!-#REF!</f>
        <v>#REF!</v>
      </c>
      <c r="C64" s="1119">
        <v>478000</v>
      </c>
    </row>
    <row r="65" spans="1:6">
      <c r="A65" s="1132" t="s">
        <v>1132</v>
      </c>
      <c r="B65" s="934" t="e">
        <f>SUM(#REF!)-SUM(#REF!)</f>
        <v>#REF!</v>
      </c>
      <c r="C65" s="1119">
        <v>220284</v>
      </c>
      <c r="E65" s="773"/>
    </row>
    <row r="66" spans="1:6">
      <c r="A66" s="1137" t="s">
        <v>1131</v>
      </c>
      <c r="B66" s="1134" t="e">
        <f>SUM(B60:B65)</f>
        <v>#REF!</v>
      </c>
      <c r="C66" s="1135">
        <f>SUM(C60:C65)</f>
        <v>146543828.59999999</v>
      </c>
      <c r="E66" s="773"/>
    </row>
    <row r="67" spans="1:6">
      <c r="A67" s="852" t="s">
        <v>1130</v>
      </c>
      <c r="B67" s="1138" t="e">
        <f>#REF!+#REF!-#REF!-#REF!+#REF!-#REF!</f>
        <v>#REF!</v>
      </c>
      <c r="C67" s="1049">
        <v>0</v>
      </c>
    </row>
    <row r="68" spans="1:6">
      <c r="A68" s="1137"/>
      <c r="B68" s="1138"/>
      <c r="C68" s="1199"/>
      <c r="E68" s="767"/>
      <c r="F68" s="773"/>
    </row>
    <row r="69" spans="1:6" ht="15.75" thickBot="1">
      <c r="A69" s="1139" t="s">
        <v>1172</v>
      </c>
      <c r="B69" s="807" t="e">
        <f>B57+B66+B67</f>
        <v>#REF!</v>
      </c>
      <c r="C69" s="931">
        <f>C57+C66+C67</f>
        <v>249419758.56999999</v>
      </c>
    </row>
    <row r="70" spans="1:6" ht="15.75" customHeight="1">
      <c r="A70" s="1140"/>
      <c r="B70" s="932"/>
      <c r="C70" s="932"/>
    </row>
    <row r="71" spans="1:6" ht="15.75" customHeight="1">
      <c r="A71" s="1140"/>
      <c r="B71" s="932"/>
      <c r="C71" s="932"/>
    </row>
    <row r="72" spans="1:6" ht="15.75" thickBot="1">
      <c r="A72" s="785" t="s">
        <v>1164</v>
      </c>
      <c r="B72" s="933"/>
      <c r="C72" s="933"/>
    </row>
    <row r="73" spans="1:6">
      <c r="A73" s="1141" t="s">
        <v>1111</v>
      </c>
      <c r="B73" s="1142" t="e">
        <f>#REF!</f>
        <v>#REF!</v>
      </c>
      <c r="C73" s="1143">
        <v>76438662.150000006</v>
      </c>
    </row>
    <row r="74" spans="1:6">
      <c r="A74" s="1144" t="s">
        <v>1112</v>
      </c>
      <c r="B74" s="934" t="e">
        <f>#REF!</f>
        <v>#REF!</v>
      </c>
      <c r="C74" s="1049">
        <v>116367266</v>
      </c>
    </row>
    <row r="75" spans="1:6">
      <c r="A75" s="1144" t="s">
        <v>1110</v>
      </c>
      <c r="B75" s="934" t="e">
        <f>#REF!</f>
        <v>#REF!</v>
      </c>
      <c r="C75" s="1049">
        <v>22851045.079999998</v>
      </c>
    </row>
    <row r="76" spans="1:6">
      <c r="A76" s="1144" t="s">
        <v>1113</v>
      </c>
      <c r="B76" s="934" t="e">
        <f>#REF!</f>
        <v>#REF!</v>
      </c>
      <c r="C76" s="934">
        <v>10975</v>
      </c>
    </row>
    <row r="77" spans="1:6" ht="15.75" thickBot="1">
      <c r="A77" s="1127" t="s">
        <v>1173</v>
      </c>
      <c r="B77" s="807" t="e">
        <f>SUM(B73:B76)</f>
        <v>#REF!</v>
      </c>
      <c r="C77" s="931">
        <f>SUM(C73:C76)</f>
        <v>215667948.23000002</v>
      </c>
    </row>
    <row r="78" spans="1:6" ht="15.75" customHeight="1">
      <c r="A78" s="1140"/>
      <c r="B78" s="932"/>
      <c r="C78" s="932"/>
    </row>
    <row r="79" spans="1:6" ht="15.75" customHeight="1">
      <c r="A79" s="1140"/>
      <c r="B79" s="932"/>
      <c r="C79" s="932"/>
    </row>
    <row r="80" spans="1:6" ht="15.75" thickBot="1">
      <c r="A80" s="785" t="s">
        <v>1165</v>
      </c>
      <c r="B80" s="933"/>
      <c r="C80" s="933"/>
    </row>
    <row r="81" spans="1:3">
      <c r="A81" s="1141" t="s">
        <v>1212</v>
      </c>
      <c r="B81" s="1142" t="e">
        <f>#REF!+#REF!-#REF!-#REF!</f>
        <v>#REF!</v>
      </c>
      <c r="C81" s="1145">
        <v>12151770.389999999</v>
      </c>
    </row>
    <row r="82" spans="1:3">
      <c r="A82" s="1144" t="s">
        <v>1114</v>
      </c>
      <c r="B82" s="934" t="e">
        <f>#REF!-#REF!</f>
        <v>#REF!</v>
      </c>
      <c r="C82" s="1119">
        <v>0</v>
      </c>
    </row>
    <row r="83" spans="1:3">
      <c r="A83" s="1144" t="s">
        <v>1243</v>
      </c>
      <c r="B83" s="934" t="e">
        <f>#REF!-#REF!</f>
        <v>#REF!</v>
      </c>
      <c r="C83" s="1119">
        <v>374883</v>
      </c>
    </row>
    <row r="84" spans="1:3">
      <c r="A84" s="1144" t="s">
        <v>1115</v>
      </c>
      <c r="B84" s="934"/>
      <c r="C84" s="1119"/>
    </row>
    <row r="85" spans="1:3">
      <c r="A85" s="1144" t="s">
        <v>1116</v>
      </c>
      <c r="B85" s="934" t="e">
        <f>#REF!-#REF!</f>
        <v>#REF!</v>
      </c>
      <c r="C85" s="1119">
        <v>105559</v>
      </c>
    </row>
    <row r="86" spans="1:3">
      <c r="A86" s="1144" t="s">
        <v>1117</v>
      </c>
      <c r="B86" s="934" t="e">
        <f>#REF!-#REF!</f>
        <v>#REF!</v>
      </c>
      <c r="C86" s="1119">
        <v>4694100</v>
      </c>
    </row>
    <row r="87" spans="1:3">
      <c r="A87" s="1144" t="s">
        <v>1234</v>
      </c>
      <c r="B87" s="934" t="e">
        <f>#REF!-#REF!</f>
        <v>#REF!</v>
      </c>
      <c r="C87" s="1119">
        <v>0</v>
      </c>
    </row>
    <row r="88" spans="1:3" ht="15.75" thickBot="1">
      <c r="A88" s="1127" t="s">
        <v>1174</v>
      </c>
      <c r="B88" s="807" t="e">
        <f>SUM(B81:B87)</f>
        <v>#REF!</v>
      </c>
      <c r="C88" s="931">
        <f>SUM(C81:C87)</f>
        <v>17326312.390000001</v>
      </c>
    </row>
    <row r="89" spans="1:3">
      <c r="A89" s="735"/>
      <c r="B89" s="932"/>
      <c r="C89" s="932"/>
    </row>
    <row r="90" spans="1:3">
      <c r="A90" s="735"/>
      <c r="B90" s="932"/>
      <c r="C90" s="932"/>
    </row>
    <row r="91" spans="1:3" ht="15.75" thickBot="1">
      <c r="A91" s="759" t="s">
        <v>1200</v>
      </c>
      <c r="B91" s="932"/>
      <c r="C91" s="932"/>
    </row>
    <row r="92" spans="1:3">
      <c r="A92" s="1149"/>
      <c r="B92" s="937"/>
      <c r="C92" s="1107"/>
    </row>
    <row r="93" spans="1:3">
      <c r="A93" s="939" t="s">
        <v>1208</v>
      </c>
      <c r="B93" s="1053" t="e">
        <f>SUM(#REF!)-SUM(#REF!)-SUM(B94:B96)</f>
        <v>#REF!</v>
      </c>
      <c r="C93" s="1157">
        <v>109956383.7383</v>
      </c>
    </row>
    <row r="94" spans="1:3">
      <c r="A94" s="939" t="s">
        <v>1198</v>
      </c>
      <c r="B94" s="1053" t="e">
        <f>#REF!+#REF!+#REF!</f>
        <v>#REF!</v>
      </c>
      <c r="C94" s="1157">
        <v>23224578.000399999</v>
      </c>
    </row>
    <row r="95" spans="1:3">
      <c r="A95" s="939" t="s">
        <v>1199</v>
      </c>
      <c r="B95" s="1053" t="e">
        <f>#REF!+#REF!+#REF!+SUM(#REF!)-SUM(#REF!)-#REF!-#REF!-#REF!+#REF!-#REF!+#REF!-#REF!+#REF!+#REF!-#REF!-#REF!+#REF!-#REF!</f>
        <v>#REF!</v>
      </c>
      <c r="C95" s="1157">
        <v>9750580.2598000001</v>
      </c>
    </row>
    <row r="96" spans="1:3">
      <c r="A96" s="939" t="s">
        <v>259</v>
      </c>
      <c r="B96" s="1053" t="e">
        <f>#REF!+#REF!-#REF!-#REF!+#REF!+#REF!-#REF!-#REF!+#REF!-#REF!+#REF!-#REF!</f>
        <v>#REF!</v>
      </c>
      <c r="C96" s="1157">
        <v>1234480.21</v>
      </c>
    </row>
    <row r="97" spans="1:10" ht="15.75" thickBot="1">
      <c r="A97" s="1127" t="s">
        <v>122</v>
      </c>
      <c r="B97" s="1128" t="e">
        <f>SUM(B93:B96)</f>
        <v>#REF!</v>
      </c>
      <c r="C97" s="1150">
        <f>SUM(C93:C96)</f>
        <v>144166022.2085</v>
      </c>
    </row>
    <row r="98" spans="1:10">
      <c r="A98" s="735"/>
      <c r="B98" s="932"/>
      <c r="C98" s="932"/>
    </row>
    <row r="99" spans="1:10" ht="15.75" thickBot="1">
      <c r="A99" s="785" t="s">
        <v>1201</v>
      </c>
      <c r="B99" s="1146"/>
      <c r="C99" s="1123"/>
    </row>
    <row r="100" spans="1:10">
      <c r="A100" s="1147" t="s">
        <v>1049</v>
      </c>
      <c r="B100" s="1209" t="e">
        <f>#REF!-#REF!</f>
        <v>#REF!</v>
      </c>
      <c r="C100" s="1154">
        <v>1032818</v>
      </c>
    </row>
    <row r="101" spans="1:10">
      <c r="A101" s="850" t="s">
        <v>831</v>
      </c>
      <c r="B101" s="1053" t="e">
        <f>#REF!-#REF!</f>
        <v>#REF!</v>
      </c>
      <c r="C101" s="1155">
        <v>59422.18</v>
      </c>
    </row>
    <row r="102" spans="1:10">
      <c r="A102" s="850" t="s">
        <v>1102</v>
      </c>
      <c r="B102" s="1053" t="e">
        <f>#REF!-#REF!</f>
        <v>#REF!</v>
      </c>
      <c r="C102" s="1155">
        <v>2316140</v>
      </c>
    </row>
    <row r="103" spans="1:10">
      <c r="A103" s="1040" t="s">
        <v>989</v>
      </c>
      <c r="B103" s="1053" t="e">
        <f>#REF!-#REF!</f>
        <v>#REF!</v>
      </c>
      <c r="C103" s="1155">
        <v>739533.2</v>
      </c>
    </row>
    <row r="104" spans="1:10">
      <c r="A104" s="1040" t="s">
        <v>885</v>
      </c>
      <c r="B104" s="1053" t="e">
        <f>#REF!-#REF!</f>
        <v>#REF!</v>
      </c>
      <c r="C104" s="1155">
        <v>305767.40000000002</v>
      </c>
      <c r="J104" s="759"/>
    </row>
    <row r="105" spans="1:10">
      <c r="A105" s="1040" t="s">
        <v>845</v>
      </c>
      <c r="B105" s="1053" t="e">
        <f>#REF!-#REF!+#REF!-#REF!</f>
        <v>#REF!</v>
      </c>
      <c r="C105" s="1155">
        <v>520523.6</v>
      </c>
      <c r="E105" s="1148"/>
    </row>
    <row r="106" spans="1:10">
      <c r="A106" s="1040" t="s">
        <v>1188</v>
      </c>
      <c r="B106" s="1053" t="e">
        <f>#REF!-#REF!+#REF!+#REF!-#REF!-#REF!+#REF!-#REF!+#REF!-#REF!+#REF!-#REF!</f>
        <v>#REF!</v>
      </c>
      <c r="C106" s="1155">
        <f>884685.94+714822.05</f>
        <v>1599507.99</v>
      </c>
    </row>
    <row r="107" spans="1:10">
      <c r="A107" s="1040" t="s">
        <v>1103</v>
      </c>
      <c r="B107" s="1053" t="e">
        <f>#REF!-#REF!</f>
        <v>#REF!</v>
      </c>
      <c r="C107" s="1155">
        <v>2461697</v>
      </c>
      <c r="G107" s="773"/>
    </row>
    <row r="108" spans="1:10">
      <c r="A108" s="1040" t="s">
        <v>1104</v>
      </c>
      <c r="B108" s="1053" t="e">
        <f>#REF!-#REF!</f>
        <v>#REF!</v>
      </c>
      <c r="C108" s="1155">
        <v>36447.5</v>
      </c>
      <c r="G108" s="773"/>
    </row>
    <row r="109" spans="1:10">
      <c r="A109" s="1040" t="s">
        <v>1189</v>
      </c>
      <c r="B109" s="1053" t="e">
        <f>#REF!</f>
        <v>#REF!</v>
      </c>
      <c r="C109" s="1155">
        <v>309400</v>
      </c>
      <c r="G109" s="773"/>
    </row>
    <row r="110" spans="1:10">
      <c r="A110" s="1040" t="s">
        <v>854</v>
      </c>
      <c r="B110" s="1053" t="e">
        <f>#REF!-#REF!</f>
        <v>#REF!</v>
      </c>
      <c r="C110" s="1155">
        <v>3119</v>
      </c>
      <c r="G110" s="773"/>
    </row>
    <row r="111" spans="1:10" hidden="1">
      <c r="A111" s="1040" t="s">
        <v>1109</v>
      </c>
      <c r="B111" s="1156" t="e">
        <f>#REF!-#REF!+#REF!-#REF!</f>
        <v>#REF!</v>
      </c>
      <c r="C111" s="1155">
        <v>0</v>
      </c>
      <c r="G111" s="773"/>
    </row>
    <row r="112" spans="1:10">
      <c r="A112" s="1040" t="s">
        <v>1042</v>
      </c>
      <c r="B112" s="1053" t="e">
        <f>SUM(#REF!)-SUM(#REF!)</f>
        <v>#REF!</v>
      </c>
      <c r="C112" s="1155">
        <v>4265352.5</v>
      </c>
      <c r="G112" s="773"/>
    </row>
    <row r="113" spans="1:10">
      <c r="A113" s="1040" t="s">
        <v>1108</v>
      </c>
      <c r="B113" s="1053" t="e">
        <f>#REF!-#REF!+#REF!-#REF!</f>
        <v>#REF!</v>
      </c>
      <c r="C113" s="1155">
        <v>408210.19</v>
      </c>
      <c r="J113" s="759"/>
    </row>
    <row r="114" spans="1:10">
      <c r="A114" s="1040" t="s">
        <v>837</v>
      </c>
      <c r="B114" s="1053" t="e">
        <f>#REF!-#REF!</f>
        <v>#REF!</v>
      </c>
      <c r="C114" s="1155">
        <v>32397.06</v>
      </c>
    </row>
    <row r="115" spans="1:10">
      <c r="A115" s="1040" t="s">
        <v>850</v>
      </c>
      <c r="B115" s="1053" t="e">
        <f>#REF!-#REF!+#REF!-#REF!</f>
        <v>#REF!</v>
      </c>
      <c r="C115" s="1155">
        <v>12138805.199899999</v>
      </c>
    </row>
    <row r="116" spans="1:10">
      <c r="A116" s="1040" t="s">
        <v>872</v>
      </c>
      <c r="B116" s="1053" t="e">
        <f>#REF!-#REF!</f>
        <v>#REF!</v>
      </c>
      <c r="C116" s="1155">
        <v>1615636.05</v>
      </c>
    </row>
    <row r="117" spans="1:10">
      <c r="A117" s="1040" t="s">
        <v>1050</v>
      </c>
      <c r="B117" s="1053" t="e">
        <f>SUM(#REF!)-SUM(#REF!)+#REF!-#REF!+#REF!-#REF!</f>
        <v>#REF!</v>
      </c>
      <c r="C117" s="1155">
        <v>22154451.980500001</v>
      </c>
    </row>
    <row r="118" spans="1:10">
      <c r="A118" s="1040" t="s">
        <v>1105</v>
      </c>
      <c r="B118" s="1053" t="e">
        <f>#REF!-#REF!</f>
        <v>#REF!</v>
      </c>
      <c r="C118" s="1155">
        <v>271809.28999999998</v>
      </c>
      <c r="I118" s="759"/>
    </row>
    <row r="119" spans="1:10">
      <c r="A119" s="1040" t="s">
        <v>1107</v>
      </c>
      <c r="B119" s="1053" t="e">
        <f>#REF!-#REF!</f>
        <v>#REF!</v>
      </c>
      <c r="C119" s="1155">
        <v>13119286</v>
      </c>
      <c r="I119" s="759"/>
    </row>
    <row r="120" spans="1:10">
      <c r="A120" s="1040" t="s">
        <v>1245</v>
      </c>
      <c r="B120" s="1053" t="e">
        <f>#REF!-#REF!+#REF!-#REF!+#REF!-#REF!</f>
        <v>#REF!</v>
      </c>
      <c r="C120" s="1155">
        <v>6202338.7999999998</v>
      </c>
      <c r="I120" s="759"/>
    </row>
    <row r="121" spans="1:10">
      <c r="A121" s="1040" t="s">
        <v>836</v>
      </c>
      <c r="B121" s="1053" t="e">
        <f>#REF!+#REF!+#REF!+SUM(#REF!)-SUM(#REF!)-#REF!-#REF!-#REF!</f>
        <v>#REF!</v>
      </c>
      <c r="C121" s="1155">
        <v>4266716.9000000004</v>
      </c>
      <c r="E121" s="767"/>
    </row>
    <row r="122" spans="1:10" ht="15.75" thickBot="1">
      <c r="A122" s="1127" t="s">
        <v>1175</v>
      </c>
      <c r="B122" s="1128" t="e">
        <f>SUM(B100:B121)</f>
        <v>#REF!</v>
      </c>
      <c r="C122" s="1129">
        <f>SUM(C100:C121)</f>
        <v>73859379.84040001</v>
      </c>
    </row>
    <row r="123" spans="1:10" ht="12.75" customHeight="1">
      <c r="A123" s="735"/>
      <c r="B123" s="1123"/>
      <c r="C123" s="1123"/>
    </row>
    <row r="124" spans="1:10" ht="12.75" customHeight="1">
      <c r="A124" s="735"/>
      <c r="B124" s="1123"/>
      <c r="C124" s="1123"/>
    </row>
    <row r="125" spans="1:10" ht="17.25" customHeight="1" thickBot="1">
      <c r="A125" s="785" t="s">
        <v>1202</v>
      </c>
      <c r="B125" s="1123"/>
      <c r="C125" s="1123"/>
    </row>
    <row r="126" spans="1:10">
      <c r="A126" s="1149" t="s">
        <v>1096</v>
      </c>
      <c r="B126" s="937"/>
      <c r="C126" s="1107"/>
    </row>
    <row r="127" spans="1:10">
      <c r="A127" s="939" t="s">
        <v>1100</v>
      </c>
      <c r="B127" s="1053" t="e">
        <f>#REF!</f>
        <v>#REF!</v>
      </c>
      <c r="C127" s="1157">
        <v>173250</v>
      </c>
    </row>
    <row r="128" spans="1:10">
      <c r="A128" s="939" t="s">
        <v>1101</v>
      </c>
      <c r="B128" s="1053" t="e">
        <f>#REF!</f>
        <v>#REF!</v>
      </c>
      <c r="C128" s="1157">
        <v>8850</v>
      </c>
    </row>
    <row r="129" spans="1:5" hidden="1">
      <c r="A129" s="939" t="s">
        <v>1097</v>
      </c>
      <c r="B129" s="1053" t="e">
        <f>#REF!</f>
        <v>#REF!</v>
      </c>
      <c r="C129" s="1157">
        <v>0</v>
      </c>
    </row>
    <row r="130" spans="1:5" hidden="1">
      <c r="A130" s="939" t="s">
        <v>1098</v>
      </c>
      <c r="B130" s="1053" t="e">
        <f>#REF!</f>
        <v>#REF!</v>
      </c>
      <c r="C130" s="1157">
        <v>0</v>
      </c>
    </row>
    <row r="131" spans="1:5">
      <c r="A131" s="939" t="s">
        <v>985</v>
      </c>
      <c r="B131" s="1053" t="e">
        <f>#REF!</f>
        <v>#REF!</v>
      </c>
      <c r="C131" s="1157">
        <v>51703</v>
      </c>
      <c r="E131" s="767"/>
    </row>
    <row r="132" spans="1:5" hidden="1">
      <c r="A132" s="939" t="s">
        <v>854</v>
      </c>
      <c r="B132" s="1053">
        <v>0</v>
      </c>
      <c r="C132" s="1157">
        <v>0</v>
      </c>
    </row>
    <row r="133" spans="1:5" hidden="1">
      <c r="A133" s="939" t="s">
        <v>1099</v>
      </c>
      <c r="B133" s="1053" t="e">
        <f>#REF!</f>
        <v>#REF!</v>
      </c>
      <c r="C133" s="1157">
        <v>0</v>
      </c>
    </row>
    <row r="134" spans="1:5">
      <c r="A134" s="939" t="s">
        <v>932</v>
      </c>
      <c r="B134" s="1053" t="e">
        <f>#REF!+#REF!-#REF!</f>
        <v>#REF!</v>
      </c>
      <c r="C134" s="1157">
        <v>519910</v>
      </c>
    </row>
    <row r="135" spans="1:5">
      <c r="A135" s="939" t="s">
        <v>886</v>
      </c>
      <c r="B135" s="1053" t="e">
        <f>#REF!+#REF!+#REF!</f>
        <v>#REF!</v>
      </c>
      <c r="C135" s="1157">
        <v>352564</v>
      </c>
    </row>
    <row r="136" spans="1:5">
      <c r="A136" s="939" t="s">
        <v>887</v>
      </c>
      <c r="B136" s="1053" t="e">
        <f>#REF!</f>
        <v>#REF!</v>
      </c>
      <c r="C136" s="1157">
        <v>16726.27</v>
      </c>
    </row>
    <row r="137" spans="1:5">
      <c r="A137" s="939"/>
      <c r="B137" s="934"/>
      <c r="C137" s="1049"/>
    </row>
    <row r="138" spans="1:5" ht="15.75" thickBot="1">
      <c r="A138" s="1127" t="s">
        <v>1176</v>
      </c>
      <c r="B138" s="1128" t="e">
        <f>SUM(B127:B137)</f>
        <v>#REF!</v>
      </c>
      <c r="C138" s="1150">
        <f>SUM(C127:C137)</f>
        <v>1123003.27</v>
      </c>
    </row>
    <row r="139" spans="1:5">
      <c r="A139" s="1151"/>
      <c r="B139" s="932"/>
      <c r="C139" s="932"/>
    </row>
    <row r="140" spans="1:5">
      <c r="A140" s="785" t="s">
        <v>1203</v>
      </c>
      <c r="B140" s="1115"/>
      <c r="C140" s="1123"/>
    </row>
    <row r="141" spans="1:5" ht="30.75" customHeight="1">
      <c r="A141" s="1373" t="s">
        <v>1197</v>
      </c>
      <c r="B141" s="1374"/>
      <c r="C141" s="1375"/>
    </row>
  </sheetData>
  <sortState xmlns:xlrd2="http://schemas.microsoft.com/office/spreadsheetml/2017/richdata2" ref="A101:C122">
    <sortCondition ref="A101:A122"/>
  </sortState>
  <mergeCells count="5">
    <mergeCell ref="A141:C141"/>
    <mergeCell ref="A24:B24"/>
    <mergeCell ref="A52:B52"/>
    <mergeCell ref="A1:C1"/>
    <mergeCell ref="A2:C2"/>
  </mergeCells>
  <printOptions horizontalCentered="1"/>
  <pageMargins left="0.39370078740157483" right="0.39370078740157483" top="0.78740157480314965" bottom="0.39370078740157483" header="0.51181102362204722" footer="3.7007874015748032"/>
  <pageSetup paperSize="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N18"/>
  <sheetViews>
    <sheetView showGridLines="0" showZeros="0" topLeftCell="A2" zoomScale="98" zoomScaleNormal="98" workbookViewId="0">
      <pane xSplit="1" ySplit="6" topLeftCell="B8" activePane="bottomRight" state="frozen"/>
      <selection activeCell="A2" sqref="A2"/>
      <selection pane="topRight" activeCell="B2" sqref="B2"/>
      <selection pane="bottomLeft" activeCell="A8" sqref="A8"/>
      <selection pane="bottomRight" activeCell="G27" sqref="G27"/>
    </sheetView>
  </sheetViews>
  <sheetFormatPr defaultColWidth="9.140625" defaultRowHeight="15"/>
  <cols>
    <col min="1" max="1" width="41.85546875" style="582" customWidth="1"/>
    <col min="2" max="2" width="12.5703125" style="675" customWidth="1"/>
    <col min="3" max="3" width="12.28515625" style="675" customWidth="1"/>
    <col min="4" max="4" width="12.5703125" style="675" customWidth="1"/>
    <col min="5" max="5" width="13.42578125" style="675" customWidth="1"/>
    <col min="6" max="6" width="13.5703125" style="675" customWidth="1"/>
    <col min="7" max="7" width="14.5703125" style="675" customWidth="1"/>
    <col min="8" max="8" width="13.28515625" style="675" customWidth="1"/>
    <col min="9" max="9" width="11.5703125" style="675" bestFit="1" customWidth="1"/>
    <col min="10" max="10" width="30.5703125" style="582" bestFit="1" customWidth="1"/>
    <col min="11" max="11" width="14.28515625" style="582" bestFit="1" customWidth="1"/>
    <col min="12" max="12" width="13.28515625" style="582" bestFit="1" customWidth="1"/>
    <col min="13" max="13" width="12.7109375" style="582" bestFit="1" customWidth="1"/>
    <col min="14" max="14" width="10.5703125" style="582" bestFit="1" customWidth="1"/>
    <col min="15" max="15" width="10.28515625" style="582" bestFit="1" customWidth="1"/>
    <col min="16" max="16384" width="9.140625" style="582"/>
  </cols>
  <sheetData>
    <row r="1" spans="1:14" ht="15" customHeight="1" thickBot="1">
      <c r="A1" s="1339" t="s">
        <v>822</v>
      </c>
      <c r="B1" s="1340"/>
      <c r="C1" s="1340"/>
      <c r="D1" s="1340"/>
      <c r="E1" s="1340"/>
      <c r="F1" s="1340"/>
      <c r="G1" s="1340"/>
      <c r="H1" s="1341"/>
    </row>
    <row r="2" spans="1:14" ht="15.75" thickBot="1">
      <c r="A2" s="1330" t="s">
        <v>60</v>
      </c>
      <c r="B2" s="1331"/>
      <c r="C2" s="1331"/>
      <c r="D2" s="1331"/>
      <c r="E2" s="1331"/>
      <c r="F2" s="1331"/>
      <c r="G2" s="1331"/>
      <c r="H2" s="1332"/>
    </row>
    <row r="3" spans="1:14">
      <c r="A3" s="758"/>
      <c r="H3" s="1210"/>
    </row>
    <row r="4" spans="1:14" ht="15.75" thickBot="1">
      <c r="A4" s="1211" t="s">
        <v>1218</v>
      </c>
      <c r="B4" s="1212"/>
      <c r="C4" s="1212"/>
      <c r="D4" s="1212"/>
      <c r="E4" s="1212"/>
      <c r="F4" s="1212"/>
      <c r="G4" s="1212"/>
      <c r="H4" s="1213"/>
    </row>
    <row r="5" spans="1:14" ht="15.75" thickBot="1">
      <c r="A5" s="684"/>
    </row>
    <row r="6" spans="1:14" s="1219" customFormat="1" ht="75.75" thickBot="1">
      <c r="A6" s="1214" t="s">
        <v>26</v>
      </c>
      <c r="B6" s="1215" t="s">
        <v>1219</v>
      </c>
      <c r="C6" s="1216" t="s">
        <v>1222</v>
      </c>
      <c r="D6" s="1216" t="s">
        <v>1220</v>
      </c>
      <c r="E6" s="1216" t="s">
        <v>916</v>
      </c>
      <c r="F6" s="1216" t="s">
        <v>917</v>
      </c>
      <c r="G6" s="1216" t="s">
        <v>1223</v>
      </c>
      <c r="H6" s="1217" t="s">
        <v>1221</v>
      </c>
      <c r="I6" s="1218"/>
    </row>
    <row r="7" spans="1:14" s="1219" customFormat="1" ht="15.75" thickBot="1">
      <c r="A7" s="1214"/>
      <c r="B7" s="1215" t="s">
        <v>1148</v>
      </c>
      <c r="C7" s="1216" t="s">
        <v>1148</v>
      </c>
      <c r="D7" s="1216" t="s">
        <v>1148</v>
      </c>
      <c r="E7" s="1216" t="s">
        <v>1148</v>
      </c>
      <c r="F7" s="1216" t="s">
        <v>1148</v>
      </c>
      <c r="G7" s="1216" t="s">
        <v>1148</v>
      </c>
      <c r="H7" s="1217" t="s">
        <v>1148</v>
      </c>
      <c r="I7" s="1218"/>
    </row>
    <row r="8" spans="1:14">
      <c r="A8" s="1220" t="s">
        <v>1261</v>
      </c>
      <c r="B8" s="1221"/>
      <c r="C8" s="1222"/>
      <c r="D8" s="1223"/>
      <c r="E8" s="1222"/>
      <c r="F8" s="1222"/>
      <c r="G8" s="1224"/>
      <c r="H8" s="1207"/>
      <c r="I8" s="675" t="s">
        <v>1236</v>
      </c>
      <c r="L8" s="675"/>
      <c r="N8" s="675"/>
    </row>
    <row r="9" spans="1:14">
      <c r="A9" s="1225" t="s">
        <v>1262</v>
      </c>
      <c r="B9" s="1226"/>
      <c r="C9" s="1227"/>
      <c r="D9" s="1223"/>
      <c r="E9" s="1227"/>
      <c r="F9" s="1227"/>
      <c r="G9" s="1138"/>
      <c r="H9" s="1207"/>
      <c r="I9" s="675" t="s">
        <v>1236</v>
      </c>
      <c r="L9" s="675"/>
      <c r="N9" s="675"/>
    </row>
    <row r="10" spans="1:14">
      <c r="A10" s="1225" t="s">
        <v>1263</v>
      </c>
      <c r="B10" s="1226"/>
      <c r="C10" s="1227"/>
      <c r="D10" s="1223"/>
      <c r="E10" s="1227"/>
      <c r="F10" s="1227"/>
      <c r="G10" s="1138"/>
      <c r="H10" s="1207"/>
      <c r="L10" s="675"/>
      <c r="N10" s="675"/>
    </row>
    <row r="11" spans="1:14">
      <c r="A11" s="1225"/>
      <c r="B11" s="1226"/>
      <c r="C11" s="1227"/>
      <c r="D11" s="1223"/>
      <c r="E11" s="1227"/>
      <c r="F11" s="1227"/>
      <c r="G11" s="1138"/>
      <c r="H11" s="1207"/>
      <c r="K11" s="1228"/>
      <c r="L11" s="675"/>
      <c r="N11" s="675"/>
    </row>
    <row r="12" spans="1:14" ht="15.75" thickBot="1">
      <c r="A12" s="1229"/>
      <c r="B12" s="1230"/>
      <c r="C12" s="1231"/>
      <c r="D12" s="1232"/>
      <c r="E12" s="1231"/>
      <c r="F12" s="1231"/>
      <c r="G12" s="1233"/>
      <c r="H12" s="1207"/>
      <c r="K12" s="1171"/>
      <c r="L12" s="675"/>
      <c r="N12" s="675"/>
    </row>
    <row r="13" spans="1:14" ht="15.75" thickBot="1">
      <c r="A13" s="1234" t="s">
        <v>43</v>
      </c>
      <c r="B13" s="943">
        <f t="shared" ref="B13:H13" si="0">SUM(B8:B12)</f>
        <v>0</v>
      </c>
      <c r="C13" s="944">
        <f t="shared" si="0"/>
        <v>0</v>
      </c>
      <c r="D13" s="944">
        <f t="shared" si="0"/>
        <v>0</v>
      </c>
      <c r="E13" s="944">
        <f t="shared" si="0"/>
        <v>0</v>
      </c>
      <c r="F13" s="944">
        <f t="shared" si="0"/>
        <v>0</v>
      </c>
      <c r="G13" s="944">
        <f t="shared" si="0"/>
        <v>0</v>
      </c>
      <c r="H13" s="1235">
        <f t="shared" si="0"/>
        <v>0</v>
      </c>
      <c r="J13" s="1236"/>
      <c r="K13" s="1237"/>
      <c r="L13" s="1238"/>
    </row>
    <row r="14" spans="1:14" hidden="1">
      <c r="A14" s="582" t="s">
        <v>1144</v>
      </c>
      <c r="B14" s="675">
        <f>'Notes 2 to 11'!C28</f>
        <v>0</v>
      </c>
      <c r="G14" s="675" t="e">
        <f>#REF!</f>
        <v>#REF!</v>
      </c>
      <c r="H14" s="675" t="e">
        <f>#REF!</f>
        <v>#REF!</v>
      </c>
      <c r="K14" s="675"/>
    </row>
    <row r="15" spans="1:14" hidden="1">
      <c r="A15" s="582" t="s">
        <v>1145</v>
      </c>
      <c r="B15" s="1122">
        <f>B13-B14</f>
        <v>0</v>
      </c>
      <c r="C15" s="1122"/>
      <c r="D15" s="1122"/>
      <c r="E15" s="1122"/>
      <c r="F15" s="1122"/>
      <c r="G15" s="1239" t="e">
        <f t="shared" ref="G15:H15" si="1">G13-G14</f>
        <v>#REF!</v>
      </c>
      <c r="H15" s="1122" t="e">
        <f t="shared" si="1"/>
        <v>#REF!</v>
      </c>
    </row>
    <row r="16" spans="1:14" hidden="1"/>
    <row r="17" hidden="1"/>
    <row r="18" hidden="1"/>
  </sheetData>
  <sortState xmlns:xlrd2="http://schemas.microsoft.com/office/spreadsheetml/2017/richdata2" ref="A10:H10">
    <sortCondition ref="A10"/>
  </sortState>
  <mergeCells count="2">
    <mergeCell ref="A1:H1"/>
    <mergeCell ref="A2:H2"/>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36"/>
  <sheetViews>
    <sheetView showGridLines="0" showZeros="0" workbookViewId="0">
      <pane xSplit="1" ySplit="3" topLeftCell="B4" activePane="bottomRight" state="frozen"/>
      <selection activeCell="A107" sqref="A107"/>
      <selection pane="topRight" activeCell="A107" sqref="A107"/>
      <selection pane="bottomLeft" activeCell="A107" sqref="A107"/>
      <selection pane="bottomRight" activeCell="B18" sqref="B18"/>
    </sheetView>
  </sheetViews>
  <sheetFormatPr defaultRowHeight="15"/>
  <cols>
    <col min="1" max="1" width="8.85546875" style="945" customWidth="1"/>
    <col min="2" max="2" width="20.7109375" style="945" customWidth="1"/>
    <col min="3" max="3" width="13.42578125" style="659" bestFit="1" customWidth="1"/>
    <col min="4" max="4" width="11.7109375" style="659" bestFit="1" customWidth="1"/>
    <col min="5" max="5" width="11.42578125" style="659" bestFit="1" customWidth="1"/>
    <col min="6" max="6" width="14.42578125" style="659" bestFit="1" customWidth="1"/>
    <col min="7" max="7" width="13.42578125" style="659" bestFit="1" customWidth="1"/>
    <col min="8" max="8" width="12.5703125" style="659" bestFit="1" customWidth="1"/>
    <col min="9" max="10" width="12.7109375" style="659" bestFit="1" customWidth="1"/>
    <col min="11" max="11" width="13.42578125" style="659" bestFit="1" customWidth="1"/>
    <col min="12" max="12" width="14.42578125" style="659" bestFit="1" customWidth="1"/>
    <col min="13" max="13" width="11.7109375" style="659" bestFit="1" customWidth="1"/>
    <col min="14" max="14" width="9.140625" style="945" hidden="1" customWidth="1"/>
    <col min="15" max="15" width="14.28515625" style="945" hidden="1" customWidth="1"/>
    <col min="16" max="16" width="9.28515625" style="945" hidden="1" customWidth="1"/>
    <col min="17" max="18" width="10" style="945" hidden="1" customWidth="1"/>
    <col min="19" max="20" width="12.140625" style="945" hidden="1" customWidth="1"/>
    <col min="21" max="21" width="10.7109375" style="945" hidden="1" customWidth="1"/>
    <col min="22" max="22" width="10.5703125" style="945" hidden="1" customWidth="1"/>
    <col min="23" max="23" width="11.28515625" style="945" hidden="1" customWidth="1"/>
    <col min="24" max="24" width="9.140625" style="945" hidden="1" customWidth="1"/>
    <col min="25" max="261" width="9.140625" style="945"/>
    <col min="262" max="262" width="4.140625" style="945" customWidth="1"/>
    <col min="263" max="263" width="24.5703125" style="945" customWidth="1"/>
    <col min="264" max="264" width="17.7109375" style="945" bestFit="1" customWidth="1"/>
    <col min="265" max="265" width="12.5703125" style="945" bestFit="1" customWidth="1"/>
    <col min="266" max="266" width="14.5703125" style="945" bestFit="1" customWidth="1"/>
    <col min="267" max="267" width="17.5703125" style="945" customWidth="1"/>
    <col min="268" max="268" width="6.42578125" style="945" customWidth="1"/>
    <col min="269" max="269" width="15.5703125" style="945" bestFit="1" customWidth="1"/>
    <col min="270" max="270" width="17.7109375" style="945" bestFit="1" customWidth="1"/>
    <col min="271" max="271" width="9.140625" style="945"/>
    <col min="272" max="272" width="10.28515625" style="945" customWidth="1"/>
    <col min="273" max="273" width="9.140625" style="945"/>
    <col min="274" max="274" width="9.28515625" style="945" customWidth="1"/>
    <col min="275" max="275" width="10" style="945" customWidth="1"/>
    <col min="276" max="517" width="9.140625" style="945"/>
    <col min="518" max="518" width="4.140625" style="945" customWidth="1"/>
    <col min="519" max="519" width="24.5703125" style="945" customWidth="1"/>
    <col min="520" max="520" width="17.7109375" style="945" bestFit="1" customWidth="1"/>
    <col min="521" max="521" width="12.5703125" style="945" bestFit="1" customWidth="1"/>
    <col min="522" max="522" width="14.5703125" style="945" bestFit="1" customWidth="1"/>
    <col min="523" max="523" width="17.5703125" style="945" customWidth="1"/>
    <col min="524" max="524" width="6.42578125" style="945" customWidth="1"/>
    <col min="525" max="525" width="15.5703125" style="945" bestFit="1" customWidth="1"/>
    <col min="526" max="526" width="17.7109375" style="945" bestFit="1" customWidth="1"/>
    <col min="527" max="527" width="9.140625" style="945"/>
    <col min="528" max="528" width="10.28515625" style="945" customWidth="1"/>
    <col min="529" max="529" width="9.140625" style="945"/>
    <col min="530" max="530" width="9.28515625" style="945" customWidth="1"/>
    <col min="531" max="531" width="10" style="945" customWidth="1"/>
    <col min="532" max="773" width="9.140625" style="945"/>
    <col min="774" max="774" width="4.140625" style="945" customWidth="1"/>
    <col min="775" max="775" width="24.5703125" style="945" customWidth="1"/>
    <col min="776" max="776" width="17.7109375" style="945" bestFit="1" customWidth="1"/>
    <col min="777" max="777" width="12.5703125" style="945" bestFit="1" customWidth="1"/>
    <col min="778" max="778" width="14.5703125" style="945" bestFit="1" customWidth="1"/>
    <col min="779" max="779" width="17.5703125" style="945" customWidth="1"/>
    <col min="780" max="780" width="6.42578125" style="945" customWidth="1"/>
    <col min="781" max="781" width="15.5703125" style="945" bestFit="1" customWidth="1"/>
    <col min="782" max="782" width="17.7109375" style="945" bestFit="1" customWidth="1"/>
    <col min="783" max="783" width="9.140625" style="945"/>
    <col min="784" max="784" width="10.28515625" style="945" customWidth="1"/>
    <col min="785" max="785" width="9.140625" style="945"/>
    <col min="786" max="786" width="9.28515625" style="945" customWidth="1"/>
    <col min="787" max="787" width="10" style="945" customWidth="1"/>
    <col min="788" max="1029" width="9.140625" style="945"/>
    <col min="1030" max="1030" width="4.140625" style="945" customWidth="1"/>
    <col min="1031" max="1031" width="24.5703125" style="945" customWidth="1"/>
    <col min="1032" max="1032" width="17.7109375" style="945" bestFit="1" customWidth="1"/>
    <col min="1033" max="1033" width="12.5703125" style="945" bestFit="1" customWidth="1"/>
    <col min="1034" max="1034" width="14.5703125" style="945" bestFit="1" customWidth="1"/>
    <col min="1035" max="1035" width="17.5703125" style="945" customWidth="1"/>
    <col min="1036" max="1036" width="6.42578125" style="945" customWidth="1"/>
    <col min="1037" max="1037" width="15.5703125" style="945" bestFit="1" customWidth="1"/>
    <col min="1038" max="1038" width="17.7109375" style="945" bestFit="1" customWidth="1"/>
    <col min="1039" max="1039" width="9.140625" style="945"/>
    <col min="1040" max="1040" width="10.28515625" style="945" customWidth="1"/>
    <col min="1041" max="1041" width="9.140625" style="945"/>
    <col min="1042" max="1042" width="9.28515625" style="945" customWidth="1"/>
    <col min="1043" max="1043" width="10" style="945" customWidth="1"/>
    <col min="1044" max="1285" width="9.140625" style="945"/>
    <col min="1286" max="1286" width="4.140625" style="945" customWidth="1"/>
    <col min="1287" max="1287" width="24.5703125" style="945" customWidth="1"/>
    <col min="1288" max="1288" width="17.7109375" style="945" bestFit="1" customWidth="1"/>
    <col min="1289" max="1289" width="12.5703125" style="945" bestFit="1" customWidth="1"/>
    <col min="1290" max="1290" width="14.5703125" style="945" bestFit="1" customWidth="1"/>
    <col min="1291" max="1291" width="17.5703125" style="945" customWidth="1"/>
    <col min="1292" max="1292" width="6.42578125" style="945" customWidth="1"/>
    <col min="1293" max="1293" width="15.5703125" style="945" bestFit="1" customWidth="1"/>
    <col min="1294" max="1294" width="17.7109375" style="945" bestFit="1" customWidth="1"/>
    <col min="1295" max="1295" width="9.140625" style="945"/>
    <col min="1296" max="1296" width="10.28515625" style="945" customWidth="1"/>
    <col min="1297" max="1297" width="9.140625" style="945"/>
    <col min="1298" max="1298" width="9.28515625" style="945" customWidth="1"/>
    <col min="1299" max="1299" width="10" style="945" customWidth="1"/>
    <col min="1300" max="1541" width="9.140625" style="945"/>
    <col min="1542" max="1542" width="4.140625" style="945" customWidth="1"/>
    <col min="1543" max="1543" width="24.5703125" style="945" customWidth="1"/>
    <col min="1544" max="1544" width="17.7109375" style="945" bestFit="1" customWidth="1"/>
    <col min="1545" max="1545" width="12.5703125" style="945" bestFit="1" customWidth="1"/>
    <col min="1546" max="1546" width="14.5703125" style="945" bestFit="1" customWidth="1"/>
    <col min="1547" max="1547" width="17.5703125" style="945" customWidth="1"/>
    <col min="1548" max="1548" width="6.42578125" style="945" customWidth="1"/>
    <col min="1549" max="1549" width="15.5703125" style="945" bestFit="1" customWidth="1"/>
    <col min="1550" max="1550" width="17.7109375" style="945" bestFit="1" customWidth="1"/>
    <col min="1551" max="1551" width="9.140625" style="945"/>
    <col min="1552" max="1552" width="10.28515625" style="945" customWidth="1"/>
    <col min="1553" max="1553" width="9.140625" style="945"/>
    <col min="1554" max="1554" width="9.28515625" style="945" customWidth="1"/>
    <col min="1555" max="1555" width="10" style="945" customWidth="1"/>
    <col min="1556" max="1797" width="9.140625" style="945"/>
    <col min="1798" max="1798" width="4.140625" style="945" customWidth="1"/>
    <col min="1799" max="1799" width="24.5703125" style="945" customWidth="1"/>
    <col min="1800" max="1800" width="17.7109375" style="945" bestFit="1" customWidth="1"/>
    <col min="1801" max="1801" width="12.5703125" style="945" bestFit="1" customWidth="1"/>
    <col min="1802" max="1802" width="14.5703125" style="945" bestFit="1" customWidth="1"/>
    <col min="1803" max="1803" width="17.5703125" style="945" customWidth="1"/>
    <col min="1804" max="1804" width="6.42578125" style="945" customWidth="1"/>
    <col min="1805" max="1805" width="15.5703125" style="945" bestFit="1" customWidth="1"/>
    <col min="1806" max="1806" width="17.7109375" style="945" bestFit="1" customWidth="1"/>
    <col min="1807" max="1807" width="9.140625" style="945"/>
    <col min="1808" max="1808" width="10.28515625" style="945" customWidth="1"/>
    <col min="1809" max="1809" width="9.140625" style="945"/>
    <col min="1810" max="1810" width="9.28515625" style="945" customWidth="1"/>
    <col min="1811" max="1811" width="10" style="945" customWidth="1"/>
    <col min="1812" max="2053" width="9.140625" style="945"/>
    <col min="2054" max="2054" width="4.140625" style="945" customWidth="1"/>
    <col min="2055" max="2055" width="24.5703125" style="945" customWidth="1"/>
    <col min="2056" max="2056" width="17.7109375" style="945" bestFit="1" customWidth="1"/>
    <col min="2057" max="2057" width="12.5703125" style="945" bestFit="1" customWidth="1"/>
    <col min="2058" max="2058" width="14.5703125" style="945" bestFit="1" customWidth="1"/>
    <col min="2059" max="2059" width="17.5703125" style="945" customWidth="1"/>
    <col min="2060" max="2060" width="6.42578125" style="945" customWidth="1"/>
    <col min="2061" max="2061" width="15.5703125" style="945" bestFit="1" customWidth="1"/>
    <col min="2062" max="2062" width="17.7109375" style="945" bestFit="1" customWidth="1"/>
    <col min="2063" max="2063" width="9.140625" style="945"/>
    <col min="2064" max="2064" width="10.28515625" style="945" customWidth="1"/>
    <col min="2065" max="2065" width="9.140625" style="945"/>
    <col min="2066" max="2066" width="9.28515625" style="945" customWidth="1"/>
    <col min="2067" max="2067" width="10" style="945" customWidth="1"/>
    <col min="2068" max="2309" width="9.140625" style="945"/>
    <col min="2310" max="2310" width="4.140625" style="945" customWidth="1"/>
    <col min="2311" max="2311" width="24.5703125" style="945" customWidth="1"/>
    <col min="2312" max="2312" width="17.7109375" style="945" bestFit="1" customWidth="1"/>
    <col min="2313" max="2313" width="12.5703125" style="945" bestFit="1" customWidth="1"/>
    <col min="2314" max="2314" width="14.5703125" style="945" bestFit="1" customWidth="1"/>
    <col min="2315" max="2315" width="17.5703125" style="945" customWidth="1"/>
    <col min="2316" max="2316" width="6.42578125" style="945" customWidth="1"/>
    <col min="2317" max="2317" width="15.5703125" style="945" bestFit="1" customWidth="1"/>
    <col min="2318" max="2318" width="17.7109375" style="945" bestFit="1" customWidth="1"/>
    <col min="2319" max="2319" width="9.140625" style="945"/>
    <col min="2320" max="2320" width="10.28515625" style="945" customWidth="1"/>
    <col min="2321" max="2321" width="9.140625" style="945"/>
    <col min="2322" max="2322" width="9.28515625" style="945" customWidth="1"/>
    <col min="2323" max="2323" width="10" style="945" customWidth="1"/>
    <col min="2324" max="2565" width="9.140625" style="945"/>
    <col min="2566" max="2566" width="4.140625" style="945" customWidth="1"/>
    <col min="2567" max="2567" width="24.5703125" style="945" customWidth="1"/>
    <col min="2568" max="2568" width="17.7109375" style="945" bestFit="1" customWidth="1"/>
    <col min="2569" max="2569" width="12.5703125" style="945" bestFit="1" customWidth="1"/>
    <col min="2570" max="2570" width="14.5703125" style="945" bestFit="1" customWidth="1"/>
    <col min="2571" max="2571" width="17.5703125" style="945" customWidth="1"/>
    <col min="2572" max="2572" width="6.42578125" style="945" customWidth="1"/>
    <col min="2573" max="2573" width="15.5703125" style="945" bestFit="1" customWidth="1"/>
    <col min="2574" max="2574" width="17.7109375" style="945" bestFit="1" customWidth="1"/>
    <col min="2575" max="2575" width="9.140625" style="945"/>
    <col min="2576" max="2576" width="10.28515625" style="945" customWidth="1"/>
    <col min="2577" max="2577" width="9.140625" style="945"/>
    <col min="2578" max="2578" width="9.28515625" style="945" customWidth="1"/>
    <col min="2579" max="2579" width="10" style="945" customWidth="1"/>
    <col min="2580" max="2821" width="9.140625" style="945"/>
    <col min="2822" max="2822" width="4.140625" style="945" customWidth="1"/>
    <col min="2823" max="2823" width="24.5703125" style="945" customWidth="1"/>
    <col min="2824" max="2824" width="17.7109375" style="945" bestFit="1" customWidth="1"/>
    <col min="2825" max="2825" width="12.5703125" style="945" bestFit="1" customWidth="1"/>
    <col min="2826" max="2826" width="14.5703125" style="945" bestFit="1" customWidth="1"/>
    <col min="2827" max="2827" width="17.5703125" style="945" customWidth="1"/>
    <col min="2828" max="2828" width="6.42578125" style="945" customWidth="1"/>
    <col min="2829" max="2829" width="15.5703125" style="945" bestFit="1" customWidth="1"/>
    <col min="2830" max="2830" width="17.7109375" style="945" bestFit="1" customWidth="1"/>
    <col min="2831" max="2831" width="9.140625" style="945"/>
    <col min="2832" max="2832" width="10.28515625" style="945" customWidth="1"/>
    <col min="2833" max="2833" width="9.140625" style="945"/>
    <col min="2834" max="2834" width="9.28515625" style="945" customWidth="1"/>
    <col min="2835" max="2835" width="10" style="945" customWidth="1"/>
    <col min="2836" max="3077" width="9.140625" style="945"/>
    <col min="3078" max="3078" width="4.140625" style="945" customWidth="1"/>
    <col min="3079" max="3079" width="24.5703125" style="945" customWidth="1"/>
    <col min="3080" max="3080" width="17.7109375" style="945" bestFit="1" customWidth="1"/>
    <col min="3081" max="3081" width="12.5703125" style="945" bestFit="1" customWidth="1"/>
    <col min="3082" max="3082" width="14.5703125" style="945" bestFit="1" customWidth="1"/>
    <col min="3083" max="3083" width="17.5703125" style="945" customWidth="1"/>
    <col min="3084" max="3084" width="6.42578125" style="945" customWidth="1"/>
    <col min="3085" max="3085" width="15.5703125" style="945" bestFit="1" customWidth="1"/>
    <col min="3086" max="3086" width="17.7109375" style="945" bestFit="1" customWidth="1"/>
    <col min="3087" max="3087" width="9.140625" style="945"/>
    <col min="3088" max="3088" width="10.28515625" style="945" customWidth="1"/>
    <col min="3089" max="3089" width="9.140625" style="945"/>
    <col min="3090" max="3090" width="9.28515625" style="945" customWidth="1"/>
    <col min="3091" max="3091" width="10" style="945" customWidth="1"/>
    <col min="3092" max="3333" width="9.140625" style="945"/>
    <col min="3334" max="3334" width="4.140625" style="945" customWidth="1"/>
    <col min="3335" max="3335" width="24.5703125" style="945" customWidth="1"/>
    <col min="3336" max="3336" width="17.7109375" style="945" bestFit="1" customWidth="1"/>
    <col min="3337" max="3337" width="12.5703125" style="945" bestFit="1" customWidth="1"/>
    <col min="3338" max="3338" width="14.5703125" style="945" bestFit="1" customWidth="1"/>
    <col min="3339" max="3339" width="17.5703125" style="945" customWidth="1"/>
    <col min="3340" max="3340" width="6.42578125" style="945" customWidth="1"/>
    <col min="3341" max="3341" width="15.5703125" style="945" bestFit="1" customWidth="1"/>
    <col min="3342" max="3342" width="17.7109375" style="945" bestFit="1" customWidth="1"/>
    <col min="3343" max="3343" width="9.140625" style="945"/>
    <col min="3344" max="3344" width="10.28515625" style="945" customWidth="1"/>
    <col min="3345" max="3345" width="9.140625" style="945"/>
    <col min="3346" max="3346" width="9.28515625" style="945" customWidth="1"/>
    <col min="3347" max="3347" width="10" style="945" customWidth="1"/>
    <col min="3348" max="3589" width="9.140625" style="945"/>
    <col min="3590" max="3590" width="4.140625" style="945" customWidth="1"/>
    <col min="3591" max="3591" width="24.5703125" style="945" customWidth="1"/>
    <col min="3592" max="3592" width="17.7109375" style="945" bestFit="1" customWidth="1"/>
    <col min="3593" max="3593" width="12.5703125" style="945" bestFit="1" customWidth="1"/>
    <col min="3594" max="3594" width="14.5703125" style="945" bestFit="1" customWidth="1"/>
    <col min="3595" max="3595" width="17.5703125" style="945" customWidth="1"/>
    <col min="3596" max="3596" width="6.42578125" style="945" customWidth="1"/>
    <col min="3597" max="3597" width="15.5703125" style="945" bestFit="1" customWidth="1"/>
    <col min="3598" max="3598" width="17.7109375" style="945" bestFit="1" customWidth="1"/>
    <col min="3599" max="3599" width="9.140625" style="945"/>
    <col min="3600" max="3600" width="10.28515625" style="945" customWidth="1"/>
    <col min="3601" max="3601" width="9.140625" style="945"/>
    <col min="3602" max="3602" width="9.28515625" style="945" customWidth="1"/>
    <col min="3603" max="3603" width="10" style="945" customWidth="1"/>
    <col min="3604" max="3845" width="9.140625" style="945"/>
    <col min="3846" max="3846" width="4.140625" style="945" customWidth="1"/>
    <col min="3847" max="3847" width="24.5703125" style="945" customWidth="1"/>
    <col min="3848" max="3848" width="17.7109375" style="945" bestFit="1" customWidth="1"/>
    <col min="3849" max="3849" width="12.5703125" style="945" bestFit="1" customWidth="1"/>
    <col min="3850" max="3850" width="14.5703125" style="945" bestFit="1" customWidth="1"/>
    <col min="3851" max="3851" width="17.5703125" style="945" customWidth="1"/>
    <col min="3852" max="3852" width="6.42578125" style="945" customWidth="1"/>
    <col min="3853" max="3853" width="15.5703125" style="945" bestFit="1" customWidth="1"/>
    <col min="3854" max="3854" width="17.7109375" style="945" bestFit="1" customWidth="1"/>
    <col min="3855" max="3855" width="9.140625" style="945"/>
    <col min="3856" max="3856" width="10.28515625" style="945" customWidth="1"/>
    <col min="3857" max="3857" width="9.140625" style="945"/>
    <col min="3858" max="3858" width="9.28515625" style="945" customWidth="1"/>
    <col min="3859" max="3859" width="10" style="945" customWidth="1"/>
    <col min="3860" max="4101" width="9.140625" style="945"/>
    <col min="4102" max="4102" width="4.140625" style="945" customWidth="1"/>
    <col min="4103" max="4103" width="24.5703125" style="945" customWidth="1"/>
    <col min="4104" max="4104" width="17.7109375" style="945" bestFit="1" customWidth="1"/>
    <col min="4105" max="4105" width="12.5703125" style="945" bestFit="1" customWidth="1"/>
    <col min="4106" max="4106" width="14.5703125" style="945" bestFit="1" customWidth="1"/>
    <col min="4107" max="4107" width="17.5703125" style="945" customWidth="1"/>
    <col min="4108" max="4108" width="6.42578125" style="945" customWidth="1"/>
    <col min="4109" max="4109" width="15.5703125" style="945" bestFit="1" customWidth="1"/>
    <col min="4110" max="4110" width="17.7109375" style="945" bestFit="1" customWidth="1"/>
    <col min="4111" max="4111" width="9.140625" style="945"/>
    <col min="4112" max="4112" width="10.28515625" style="945" customWidth="1"/>
    <col min="4113" max="4113" width="9.140625" style="945"/>
    <col min="4114" max="4114" width="9.28515625" style="945" customWidth="1"/>
    <col min="4115" max="4115" width="10" style="945" customWidth="1"/>
    <col min="4116" max="4357" width="9.140625" style="945"/>
    <col min="4358" max="4358" width="4.140625" style="945" customWidth="1"/>
    <col min="4359" max="4359" width="24.5703125" style="945" customWidth="1"/>
    <col min="4360" max="4360" width="17.7109375" style="945" bestFit="1" customWidth="1"/>
    <col min="4361" max="4361" width="12.5703125" style="945" bestFit="1" customWidth="1"/>
    <col min="4362" max="4362" width="14.5703125" style="945" bestFit="1" customWidth="1"/>
    <col min="4363" max="4363" width="17.5703125" style="945" customWidth="1"/>
    <col min="4364" max="4364" width="6.42578125" style="945" customWidth="1"/>
    <col min="4365" max="4365" width="15.5703125" style="945" bestFit="1" customWidth="1"/>
    <col min="4366" max="4366" width="17.7109375" style="945" bestFit="1" customWidth="1"/>
    <col min="4367" max="4367" width="9.140625" style="945"/>
    <col min="4368" max="4368" width="10.28515625" style="945" customWidth="1"/>
    <col min="4369" max="4369" width="9.140625" style="945"/>
    <col min="4370" max="4370" width="9.28515625" style="945" customWidth="1"/>
    <col min="4371" max="4371" width="10" style="945" customWidth="1"/>
    <col min="4372" max="4613" width="9.140625" style="945"/>
    <col min="4614" max="4614" width="4.140625" style="945" customWidth="1"/>
    <col min="4615" max="4615" width="24.5703125" style="945" customWidth="1"/>
    <col min="4616" max="4616" width="17.7109375" style="945" bestFit="1" customWidth="1"/>
    <col min="4617" max="4617" width="12.5703125" style="945" bestFit="1" customWidth="1"/>
    <col min="4618" max="4618" width="14.5703125" style="945" bestFit="1" customWidth="1"/>
    <col min="4619" max="4619" width="17.5703125" style="945" customWidth="1"/>
    <col min="4620" max="4620" width="6.42578125" style="945" customWidth="1"/>
    <col min="4621" max="4621" width="15.5703125" style="945" bestFit="1" customWidth="1"/>
    <col min="4622" max="4622" width="17.7109375" style="945" bestFit="1" customWidth="1"/>
    <col min="4623" max="4623" width="9.140625" style="945"/>
    <col min="4624" max="4624" width="10.28515625" style="945" customWidth="1"/>
    <col min="4625" max="4625" width="9.140625" style="945"/>
    <col min="4626" max="4626" width="9.28515625" style="945" customWidth="1"/>
    <col min="4627" max="4627" width="10" style="945" customWidth="1"/>
    <col min="4628" max="4869" width="9.140625" style="945"/>
    <col min="4870" max="4870" width="4.140625" style="945" customWidth="1"/>
    <col min="4871" max="4871" width="24.5703125" style="945" customWidth="1"/>
    <col min="4872" max="4872" width="17.7109375" style="945" bestFit="1" customWidth="1"/>
    <col min="4873" max="4873" width="12.5703125" style="945" bestFit="1" customWidth="1"/>
    <col min="4874" max="4874" width="14.5703125" style="945" bestFit="1" customWidth="1"/>
    <col min="4875" max="4875" width="17.5703125" style="945" customWidth="1"/>
    <col min="4876" max="4876" width="6.42578125" style="945" customWidth="1"/>
    <col min="4877" max="4877" width="15.5703125" style="945" bestFit="1" customWidth="1"/>
    <col min="4878" max="4878" width="17.7109375" style="945" bestFit="1" customWidth="1"/>
    <col min="4879" max="4879" width="9.140625" style="945"/>
    <col min="4880" max="4880" width="10.28515625" style="945" customWidth="1"/>
    <col min="4881" max="4881" width="9.140625" style="945"/>
    <col min="4882" max="4882" width="9.28515625" style="945" customWidth="1"/>
    <col min="4883" max="4883" width="10" style="945" customWidth="1"/>
    <col min="4884" max="5125" width="9.140625" style="945"/>
    <col min="5126" max="5126" width="4.140625" style="945" customWidth="1"/>
    <col min="5127" max="5127" width="24.5703125" style="945" customWidth="1"/>
    <col min="5128" max="5128" width="17.7109375" style="945" bestFit="1" customWidth="1"/>
    <col min="5129" max="5129" width="12.5703125" style="945" bestFit="1" customWidth="1"/>
    <col min="5130" max="5130" width="14.5703125" style="945" bestFit="1" customWidth="1"/>
    <col min="5131" max="5131" width="17.5703125" style="945" customWidth="1"/>
    <col min="5132" max="5132" width="6.42578125" style="945" customWidth="1"/>
    <col min="5133" max="5133" width="15.5703125" style="945" bestFit="1" customWidth="1"/>
    <col min="5134" max="5134" width="17.7109375" style="945" bestFit="1" customWidth="1"/>
    <col min="5135" max="5135" width="9.140625" style="945"/>
    <col min="5136" max="5136" width="10.28515625" style="945" customWidth="1"/>
    <col min="5137" max="5137" width="9.140625" style="945"/>
    <col min="5138" max="5138" width="9.28515625" style="945" customWidth="1"/>
    <col min="5139" max="5139" width="10" style="945" customWidth="1"/>
    <col min="5140" max="5381" width="9.140625" style="945"/>
    <col min="5382" max="5382" width="4.140625" style="945" customWidth="1"/>
    <col min="5383" max="5383" width="24.5703125" style="945" customWidth="1"/>
    <col min="5384" max="5384" width="17.7109375" style="945" bestFit="1" customWidth="1"/>
    <col min="5385" max="5385" width="12.5703125" style="945" bestFit="1" customWidth="1"/>
    <col min="5386" max="5386" width="14.5703125" style="945" bestFit="1" customWidth="1"/>
    <col min="5387" max="5387" width="17.5703125" style="945" customWidth="1"/>
    <col min="5388" max="5388" width="6.42578125" style="945" customWidth="1"/>
    <col min="5389" max="5389" width="15.5703125" style="945" bestFit="1" customWidth="1"/>
    <col min="5390" max="5390" width="17.7109375" style="945" bestFit="1" customWidth="1"/>
    <col min="5391" max="5391" width="9.140625" style="945"/>
    <col min="5392" max="5392" width="10.28515625" style="945" customWidth="1"/>
    <col min="5393" max="5393" width="9.140625" style="945"/>
    <col min="5394" max="5394" width="9.28515625" style="945" customWidth="1"/>
    <col min="5395" max="5395" width="10" style="945" customWidth="1"/>
    <col min="5396" max="5637" width="9.140625" style="945"/>
    <col min="5638" max="5638" width="4.140625" style="945" customWidth="1"/>
    <col min="5639" max="5639" width="24.5703125" style="945" customWidth="1"/>
    <col min="5640" max="5640" width="17.7109375" style="945" bestFit="1" customWidth="1"/>
    <col min="5641" max="5641" width="12.5703125" style="945" bestFit="1" customWidth="1"/>
    <col min="5642" max="5642" width="14.5703125" style="945" bestFit="1" customWidth="1"/>
    <col min="5643" max="5643" width="17.5703125" style="945" customWidth="1"/>
    <col min="5644" max="5644" width="6.42578125" style="945" customWidth="1"/>
    <col min="5645" max="5645" width="15.5703125" style="945" bestFit="1" customWidth="1"/>
    <col min="5646" max="5646" width="17.7109375" style="945" bestFit="1" customWidth="1"/>
    <col min="5647" max="5647" width="9.140625" style="945"/>
    <col min="5648" max="5648" width="10.28515625" style="945" customWidth="1"/>
    <col min="5649" max="5649" width="9.140625" style="945"/>
    <col min="5650" max="5650" width="9.28515625" style="945" customWidth="1"/>
    <col min="5651" max="5651" width="10" style="945" customWidth="1"/>
    <col min="5652" max="5893" width="9.140625" style="945"/>
    <col min="5894" max="5894" width="4.140625" style="945" customWidth="1"/>
    <col min="5895" max="5895" width="24.5703125" style="945" customWidth="1"/>
    <col min="5896" max="5896" width="17.7109375" style="945" bestFit="1" customWidth="1"/>
    <col min="5897" max="5897" width="12.5703125" style="945" bestFit="1" customWidth="1"/>
    <col min="5898" max="5898" width="14.5703125" style="945" bestFit="1" customWidth="1"/>
    <col min="5899" max="5899" width="17.5703125" style="945" customWidth="1"/>
    <col min="5900" max="5900" width="6.42578125" style="945" customWidth="1"/>
    <col min="5901" max="5901" width="15.5703125" style="945" bestFit="1" customWidth="1"/>
    <col min="5902" max="5902" width="17.7109375" style="945" bestFit="1" customWidth="1"/>
    <col min="5903" max="5903" width="9.140625" style="945"/>
    <col min="5904" max="5904" width="10.28515625" style="945" customWidth="1"/>
    <col min="5905" max="5905" width="9.140625" style="945"/>
    <col min="5906" max="5906" width="9.28515625" style="945" customWidth="1"/>
    <col min="5907" max="5907" width="10" style="945" customWidth="1"/>
    <col min="5908" max="6149" width="9.140625" style="945"/>
    <col min="6150" max="6150" width="4.140625" style="945" customWidth="1"/>
    <col min="6151" max="6151" width="24.5703125" style="945" customWidth="1"/>
    <col min="6152" max="6152" width="17.7109375" style="945" bestFit="1" customWidth="1"/>
    <col min="6153" max="6153" width="12.5703125" style="945" bestFit="1" customWidth="1"/>
    <col min="6154" max="6154" width="14.5703125" style="945" bestFit="1" customWidth="1"/>
    <col min="6155" max="6155" width="17.5703125" style="945" customWidth="1"/>
    <col min="6156" max="6156" width="6.42578125" style="945" customWidth="1"/>
    <col min="6157" max="6157" width="15.5703125" style="945" bestFit="1" customWidth="1"/>
    <col min="6158" max="6158" width="17.7109375" style="945" bestFit="1" customWidth="1"/>
    <col min="6159" max="6159" width="9.140625" style="945"/>
    <col min="6160" max="6160" width="10.28515625" style="945" customWidth="1"/>
    <col min="6161" max="6161" width="9.140625" style="945"/>
    <col min="6162" max="6162" width="9.28515625" style="945" customWidth="1"/>
    <col min="6163" max="6163" width="10" style="945" customWidth="1"/>
    <col min="6164" max="6405" width="9.140625" style="945"/>
    <col min="6406" max="6406" width="4.140625" style="945" customWidth="1"/>
    <col min="6407" max="6407" width="24.5703125" style="945" customWidth="1"/>
    <col min="6408" max="6408" width="17.7109375" style="945" bestFit="1" customWidth="1"/>
    <col min="6409" max="6409" width="12.5703125" style="945" bestFit="1" customWidth="1"/>
    <col min="6410" max="6410" width="14.5703125" style="945" bestFit="1" customWidth="1"/>
    <col min="6411" max="6411" width="17.5703125" style="945" customWidth="1"/>
    <col min="6412" max="6412" width="6.42578125" style="945" customWidth="1"/>
    <col min="6413" max="6413" width="15.5703125" style="945" bestFit="1" customWidth="1"/>
    <col min="6414" max="6414" width="17.7109375" style="945" bestFit="1" customWidth="1"/>
    <col min="6415" max="6415" width="9.140625" style="945"/>
    <col min="6416" max="6416" width="10.28515625" style="945" customWidth="1"/>
    <col min="6417" max="6417" width="9.140625" style="945"/>
    <col min="6418" max="6418" width="9.28515625" style="945" customWidth="1"/>
    <col min="6419" max="6419" width="10" style="945" customWidth="1"/>
    <col min="6420" max="6661" width="9.140625" style="945"/>
    <col min="6662" max="6662" width="4.140625" style="945" customWidth="1"/>
    <col min="6663" max="6663" width="24.5703125" style="945" customWidth="1"/>
    <col min="6664" max="6664" width="17.7109375" style="945" bestFit="1" customWidth="1"/>
    <col min="6665" max="6665" width="12.5703125" style="945" bestFit="1" customWidth="1"/>
    <col min="6666" max="6666" width="14.5703125" style="945" bestFit="1" customWidth="1"/>
    <col min="6667" max="6667" width="17.5703125" style="945" customWidth="1"/>
    <col min="6668" max="6668" width="6.42578125" style="945" customWidth="1"/>
    <col min="6669" max="6669" width="15.5703125" style="945" bestFit="1" customWidth="1"/>
    <col min="6670" max="6670" width="17.7109375" style="945" bestFit="1" customWidth="1"/>
    <col min="6671" max="6671" width="9.140625" style="945"/>
    <col min="6672" max="6672" width="10.28515625" style="945" customWidth="1"/>
    <col min="6673" max="6673" width="9.140625" style="945"/>
    <col min="6674" max="6674" width="9.28515625" style="945" customWidth="1"/>
    <col min="6675" max="6675" width="10" style="945" customWidth="1"/>
    <col min="6676" max="6917" width="9.140625" style="945"/>
    <col min="6918" max="6918" width="4.140625" style="945" customWidth="1"/>
    <col min="6919" max="6919" width="24.5703125" style="945" customWidth="1"/>
    <col min="6920" max="6920" width="17.7109375" style="945" bestFit="1" customWidth="1"/>
    <col min="6921" max="6921" width="12.5703125" style="945" bestFit="1" customWidth="1"/>
    <col min="6922" max="6922" width="14.5703125" style="945" bestFit="1" customWidth="1"/>
    <col min="6923" max="6923" width="17.5703125" style="945" customWidth="1"/>
    <col min="6924" max="6924" width="6.42578125" style="945" customWidth="1"/>
    <col min="6925" max="6925" width="15.5703125" style="945" bestFit="1" customWidth="1"/>
    <col min="6926" max="6926" width="17.7109375" style="945" bestFit="1" customWidth="1"/>
    <col min="6927" max="6927" width="9.140625" style="945"/>
    <col min="6928" max="6928" width="10.28515625" style="945" customWidth="1"/>
    <col min="6929" max="6929" width="9.140625" style="945"/>
    <col min="6930" max="6930" width="9.28515625" style="945" customWidth="1"/>
    <col min="6931" max="6931" width="10" style="945" customWidth="1"/>
    <col min="6932" max="7173" width="9.140625" style="945"/>
    <col min="7174" max="7174" width="4.140625" style="945" customWidth="1"/>
    <col min="7175" max="7175" width="24.5703125" style="945" customWidth="1"/>
    <col min="7176" max="7176" width="17.7109375" style="945" bestFit="1" customWidth="1"/>
    <col min="7177" max="7177" width="12.5703125" style="945" bestFit="1" customWidth="1"/>
    <col min="7178" max="7178" width="14.5703125" style="945" bestFit="1" customWidth="1"/>
    <col min="7179" max="7179" width="17.5703125" style="945" customWidth="1"/>
    <col min="7180" max="7180" width="6.42578125" style="945" customWidth="1"/>
    <col min="7181" max="7181" width="15.5703125" style="945" bestFit="1" customWidth="1"/>
    <col min="7182" max="7182" width="17.7109375" style="945" bestFit="1" customWidth="1"/>
    <col min="7183" max="7183" width="9.140625" style="945"/>
    <col min="7184" max="7184" width="10.28515625" style="945" customWidth="1"/>
    <col min="7185" max="7185" width="9.140625" style="945"/>
    <col min="7186" max="7186" width="9.28515625" style="945" customWidth="1"/>
    <col min="7187" max="7187" width="10" style="945" customWidth="1"/>
    <col min="7188" max="7429" width="9.140625" style="945"/>
    <col min="7430" max="7430" width="4.140625" style="945" customWidth="1"/>
    <col min="7431" max="7431" width="24.5703125" style="945" customWidth="1"/>
    <col min="7432" max="7432" width="17.7109375" style="945" bestFit="1" customWidth="1"/>
    <col min="7433" max="7433" width="12.5703125" style="945" bestFit="1" customWidth="1"/>
    <col min="7434" max="7434" width="14.5703125" style="945" bestFit="1" customWidth="1"/>
    <col min="7435" max="7435" width="17.5703125" style="945" customWidth="1"/>
    <col min="7436" max="7436" width="6.42578125" style="945" customWidth="1"/>
    <col min="7437" max="7437" width="15.5703125" style="945" bestFit="1" customWidth="1"/>
    <col min="7438" max="7438" width="17.7109375" style="945" bestFit="1" customWidth="1"/>
    <col min="7439" max="7439" width="9.140625" style="945"/>
    <col min="7440" max="7440" width="10.28515625" style="945" customWidth="1"/>
    <col min="7441" max="7441" width="9.140625" style="945"/>
    <col min="7442" max="7442" width="9.28515625" style="945" customWidth="1"/>
    <col min="7443" max="7443" width="10" style="945" customWidth="1"/>
    <col min="7444" max="7685" width="9.140625" style="945"/>
    <col min="7686" max="7686" width="4.140625" style="945" customWidth="1"/>
    <col min="7687" max="7687" width="24.5703125" style="945" customWidth="1"/>
    <col min="7688" max="7688" width="17.7109375" style="945" bestFit="1" customWidth="1"/>
    <col min="7689" max="7689" width="12.5703125" style="945" bestFit="1" customWidth="1"/>
    <col min="7690" max="7690" width="14.5703125" style="945" bestFit="1" customWidth="1"/>
    <col min="7691" max="7691" width="17.5703125" style="945" customWidth="1"/>
    <col min="7692" max="7692" width="6.42578125" style="945" customWidth="1"/>
    <col min="7693" max="7693" width="15.5703125" style="945" bestFit="1" customWidth="1"/>
    <col min="7694" max="7694" width="17.7109375" style="945" bestFit="1" customWidth="1"/>
    <col min="7695" max="7695" width="9.140625" style="945"/>
    <col min="7696" max="7696" width="10.28515625" style="945" customWidth="1"/>
    <col min="7697" max="7697" width="9.140625" style="945"/>
    <col min="7698" max="7698" width="9.28515625" style="945" customWidth="1"/>
    <col min="7699" max="7699" width="10" style="945" customWidth="1"/>
    <col min="7700" max="7941" width="9.140625" style="945"/>
    <col min="7942" max="7942" width="4.140625" style="945" customWidth="1"/>
    <col min="7943" max="7943" width="24.5703125" style="945" customWidth="1"/>
    <col min="7944" max="7944" width="17.7109375" style="945" bestFit="1" customWidth="1"/>
    <col min="7945" max="7945" width="12.5703125" style="945" bestFit="1" customWidth="1"/>
    <col min="7946" max="7946" width="14.5703125" style="945" bestFit="1" customWidth="1"/>
    <col min="7947" max="7947" width="17.5703125" style="945" customWidth="1"/>
    <col min="7948" max="7948" width="6.42578125" style="945" customWidth="1"/>
    <col min="7949" max="7949" width="15.5703125" style="945" bestFit="1" customWidth="1"/>
    <col min="7950" max="7950" width="17.7109375" style="945" bestFit="1" customWidth="1"/>
    <col min="7951" max="7951" width="9.140625" style="945"/>
    <col min="7952" max="7952" width="10.28515625" style="945" customWidth="1"/>
    <col min="7953" max="7953" width="9.140625" style="945"/>
    <col min="7954" max="7954" width="9.28515625" style="945" customWidth="1"/>
    <col min="7955" max="7955" width="10" style="945" customWidth="1"/>
    <col min="7956" max="8197" width="9.140625" style="945"/>
    <col min="8198" max="8198" width="4.140625" style="945" customWidth="1"/>
    <col min="8199" max="8199" width="24.5703125" style="945" customWidth="1"/>
    <col min="8200" max="8200" width="17.7109375" style="945" bestFit="1" customWidth="1"/>
    <col min="8201" max="8201" width="12.5703125" style="945" bestFit="1" customWidth="1"/>
    <col min="8202" max="8202" width="14.5703125" style="945" bestFit="1" customWidth="1"/>
    <col min="8203" max="8203" width="17.5703125" style="945" customWidth="1"/>
    <col min="8204" max="8204" width="6.42578125" style="945" customWidth="1"/>
    <col min="8205" max="8205" width="15.5703125" style="945" bestFit="1" customWidth="1"/>
    <col min="8206" max="8206" width="17.7109375" style="945" bestFit="1" customWidth="1"/>
    <col min="8207" max="8207" width="9.140625" style="945"/>
    <col min="8208" max="8208" width="10.28515625" style="945" customWidth="1"/>
    <col min="8209" max="8209" width="9.140625" style="945"/>
    <col min="8210" max="8210" width="9.28515625" style="945" customWidth="1"/>
    <col min="8211" max="8211" width="10" style="945" customWidth="1"/>
    <col min="8212" max="8453" width="9.140625" style="945"/>
    <col min="8454" max="8454" width="4.140625" style="945" customWidth="1"/>
    <col min="8455" max="8455" width="24.5703125" style="945" customWidth="1"/>
    <col min="8456" max="8456" width="17.7109375" style="945" bestFit="1" customWidth="1"/>
    <col min="8457" max="8457" width="12.5703125" style="945" bestFit="1" customWidth="1"/>
    <col min="8458" max="8458" width="14.5703125" style="945" bestFit="1" customWidth="1"/>
    <col min="8459" max="8459" width="17.5703125" style="945" customWidth="1"/>
    <col min="8460" max="8460" width="6.42578125" style="945" customWidth="1"/>
    <col min="8461" max="8461" width="15.5703125" style="945" bestFit="1" customWidth="1"/>
    <col min="8462" max="8462" width="17.7109375" style="945" bestFit="1" customWidth="1"/>
    <col min="8463" max="8463" width="9.140625" style="945"/>
    <col min="8464" max="8464" width="10.28515625" style="945" customWidth="1"/>
    <col min="8465" max="8465" width="9.140625" style="945"/>
    <col min="8466" max="8466" width="9.28515625" style="945" customWidth="1"/>
    <col min="8467" max="8467" width="10" style="945" customWidth="1"/>
    <col min="8468" max="8709" width="9.140625" style="945"/>
    <col min="8710" max="8710" width="4.140625" style="945" customWidth="1"/>
    <col min="8711" max="8711" width="24.5703125" style="945" customWidth="1"/>
    <col min="8712" max="8712" width="17.7109375" style="945" bestFit="1" customWidth="1"/>
    <col min="8713" max="8713" width="12.5703125" style="945" bestFit="1" customWidth="1"/>
    <col min="8714" max="8714" width="14.5703125" style="945" bestFit="1" customWidth="1"/>
    <col min="8715" max="8715" width="17.5703125" style="945" customWidth="1"/>
    <col min="8716" max="8716" width="6.42578125" style="945" customWidth="1"/>
    <col min="8717" max="8717" width="15.5703125" style="945" bestFit="1" customWidth="1"/>
    <col min="8718" max="8718" width="17.7109375" style="945" bestFit="1" customWidth="1"/>
    <col min="8719" max="8719" width="9.140625" style="945"/>
    <col min="8720" max="8720" width="10.28515625" style="945" customWidth="1"/>
    <col min="8721" max="8721" width="9.140625" style="945"/>
    <col min="8722" max="8722" width="9.28515625" style="945" customWidth="1"/>
    <col min="8723" max="8723" width="10" style="945" customWidth="1"/>
    <col min="8724" max="8965" width="9.140625" style="945"/>
    <col min="8966" max="8966" width="4.140625" style="945" customWidth="1"/>
    <col min="8967" max="8967" width="24.5703125" style="945" customWidth="1"/>
    <col min="8968" max="8968" width="17.7109375" style="945" bestFit="1" customWidth="1"/>
    <col min="8969" max="8969" width="12.5703125" style="945" bestFit="1" customWidth="1"/>
    <col min="8970" max="8970" width="14.5703125" style="945" bestFit="1" customWidth="1"/>
    <col min="8971" max="8971" width="17.5703125" style="945" customWidth="1"/>
    <col min="8972" max="8972" width="6.42578125" style="945" customWidth="1"/>
    <col min="8973" max="8973" width="15.5703125" style="945" bestFit="1" customWidth="1"/>
    <col min="8974" max="8974" width="17.7109375" style="945" bestFit="1" customWidth="1"/>
    <col min="8975" max="8975" width="9.140625" style="945"/>
    <col min="8976" max="8976" width="10.28515625" style="945" customWidth="1"/>
    <col min="8977" max="8977" width="9.140625" style="945"/>
    <col min="8978" max="8978" width="9.28515625" style="945" customWidth="1"/>
    <col min="8979" max="8979" width="10" style="945" customWidth="1"/>
    <col min="8980" max="9221" width="9.140625" style="945"/>
    <col min="9222" max="9222" width="4.140625" style="945" customWidth="1"/>
    <col min="9223" max="9223" width="24.5703125" style="945" customWidth="1"/>
    <col min="9224" max="9224" width="17.7109375" style="945" bestFit="1" customWidth="1"/>
    <col min="9225" max="9225" width="12.5703125" style="945" bestFit="1" customWidth="1"/>
    <col min="9226" max="9226" width="14.5703125" style="945" bestFit="1" customWidth="1"/>
    <col min="9227" max="9227" width="17.5703125" style="945" customWidth="1"/>
    <col min="9228" max="9228" width="6.42578125" style="945" customWidth="1"/>
    <col min="9229" max="9229" width="15.5703125" style="945" bestFit="1" customWidth="1"/>
    <col min="9230" max="9230" width="17.7109375" style="945" bestFit="1" customWidth="1"/>
    <col min="9231" max="9231" width="9.140625" style="945"/>
    <col min="9232" max="9232" width="10.28515625" style="945" customWidth="1"/>
    <col min="9233" max="9233" width="9.140625" style="945"/>
    <col min="9234" max="9234" width="9.28515625" style="945" customWidth="1"/>
    <col min="9235" max="9235" width="10" style="945" customWidth="1"/>
    <col min="9236" max="9477" width="9.140625" style="945"/>
    <col min="9478" max="9478" width="4.140625" style="945" customWidth="1"/>
    <col min="9479" max="9479" width="24.5703125" style="945" customWidth="1"/>
    <col min="9480" max="9480" width="17.7109375" style="945" bestFit="1" customWidth="1"/>
    <col min="9481" max="9481" width="12.5703125" style="945" bestFit="1" customWidth="1"/>
    <col min="9482" max="9482" width="14.5703125" style="945" bestFit="1" customWidth="1"/>
    <col min="9483" max="9483" width="17.5703125" style="945" customWidth="1"/>
    <col min="9484" max="9484" width="6.42578125" style="945" customWidth="1"/>
    <col min="9485" max="9485" width="15.5703125" style="945" bestFit="1" customWidth="1"/>
    <col min="9486" max="9486" width="17.7109375" style="945" bestFit="1" customWidth="1"/>
    <col min="9487" max="9487" width="9.140625" style="945"/>
    <col min="9488" max="9488" width="10.28515625" style="945" customWidth="1"/>
    <col min="9489" max="9489" width="9.140625" style="945"/>
    <col min="9490" max="9490" width="9.28515625" style="945" customWidth="1"/>
    <col min="9491" max="9491" width="10" style="945" customWidth="1"/>
    <col min="9492" max="9733" width="9.140625" style="945"/>
    <col min="9734" max="9734" width="4.140625" style="945" customWidth="1"/>
    <col min="9735" max="9735" width="24.5703125" style="945" customWidth="1"/>
    <col min="9736" max="9736" width="17.7109375" style="945" bestFit="1" customWidth="1"/>
    <col min="9737" max="9737" width="12.5703125" style="945" bestFit="1" customWidth="1"/>
    <col min="9738" max="9738" width="14.5703125" style="945" bestFit="1" customWidth="1"/>
    <col min="9739" max="9739" width="17.5703125" style="945" customWidth="1"/>
    <col min="9740" max="9740" width="6.42578125" style="945" customWidth="1"/>
    <col min="9741" max="9741" width="15.5703125" style="945" bestFit="1" customWidth="1"/>
    <col min="9742" max="9742" width="17.7109375" style="945" bestFit="1" customWidth="1"/>
    <col min="9743" max="9743" width="9.140625" style="945"/>
    <col min="9744" max="9744" width="10.28515625" style="945" customWidth="1"/>
    <col min="9745" max="9745" width="9.140625" style="945"/>
    <col min="9746" max="9746" width="9.28515625" style="945" customWidth="1"/>
    <col min="9747" max="9747" width="10" style="945" customWidth="1"/>
    <col min="9748" max="9989" width="9.140625" style="945"/>
    <col min="9990" max="9990" width="4.140625" style="945" customWidth="1"/>
    <col min="9991" max="9991" width="24.5703125" style="945" customWidth="1"/>
    <col min="9992" max="9992" width="17.7109375" style="945" bestFit="1" customWidth="1"/>
    <col min="9993" max="9993" width="12.5703125" style="945" bestFit="1" customWidth="1"/>
    <col min="9994" max="9994" width="14.5703125" style="945" bestFit="1" customWidth="1"/>
    <col min="9995" max="9995" width="17.5703125" style="945" customWidth="1"/>
    <col min="9996" max="9996" width="6.42578125" style="945" customWidth="1"/>
    <col min="9997" max="9997" width="15.5703125" style="945" bestFit="1" customWidth="1"/>
    <col min="9998" max="9998" width="17.7109375" style="945" bestFit="1" customWidth="1"/>
    <col min="9999" max="9999" width="9.140625" style="945"/>
    <col min="10000" max="10000" width="10.28515625" style="945" customWidth="1"/>
    <col min="10001" max="10001" width="9.140625" style="945"/>
    <col min="10002" max="10002" width="9.28515625" style="945" customWidth="1"/>
    <col min="10003" max="10003" width="10" style="945" customWidth="1"/>
    <col min="10004" max="10245" width="9.140625" style="945"/>
    <col min="10246" max="10246" width="4.140625" style="945" customWidth="1"/>
    <col min="10247" max="10247" width="24.5703125" style="945" customWidth="1"/>
    <col min="10248" max="10248" width="17.7109375" style="945" bestFit="1" customWidth="1"/>
    <col min="10249" max="10249" width="12.5703125" style="945" bestFit="1" customWidth="1"/>
    <col min="10250" max="10250" width="14.5703125" style="945" bestFit="1" customWidth="1"/>
    <col min="10251" max="10251" width="17.5703125" style="945" customWidth="1"/>
    <col min="10252" max="10252" width="6.42578125" style="945" customWidth="1"/>
    <col min="10253" max="10253" width="15.5703125" style="945" bestFit="1" customWidth="1"/>
    <col min="10254" max="10254" width="17.7109375" style="945" bestFit="1" customWidth="1"/>
    <col min="10255" max="10255" width="9.140625" style="945"/>
    <col min="10256" max="10256" width="10.28515625" style="945" customWidth="1"/>
    <col min="10257" max="10257" width="9.140625" style="945"/>
    <col min="10258" max="10258" width="9.28515625" style="945" customWidth="1"/>
    <col min="10259" max="10259" width="10" style="945" customWidth="1"/>
    <col min="10260" max="10501" width="9.140625" style="945"/>
    <col min="10502" max="10502" width="4.140625" style="945" customWidth="1"/>
    <col min="10503" max="10503" width="24.5703125" style="945" customWidth="1"/>
    <col min="10504" max="10504" width="17.7109375" style="945" bestFit="1" customWidth="1"/>
    <col min="10505" max="10505" width="12.5703125" style="945" bestFit="1" customWidth="1"/>
    <col min="10506" max="10506" width="14.5703125" style="945" bestFit="1" customWidth="1"/>
    <col min="10507" max="10507" width="17.5703125" style="945" customWidth="1"/>
    <col min="10508" max="10508" width="6.42578125" style="945" customWidth="1"/>
    <col min="10509" max="10509" width="15.5703125" style="945" bestFit="1" customWidth="1"/>
    <col min="10510" max="10510" width="17.7109375" style="945" bestFit="1" customWidth="1"/>
    <col min="10511" max="10511" width="9.140625" style="945"/>
    <col min="10512" max="10512" width="10.28515625" style="945" customWidth="1"/>
    <col min="10513" max="10513" width="9.140625" style="945"/>
    <col min="10514" max="10514" width="9.28515625" style="945" customWidth="1"/>
    <col min="10515" max="10515" width="10" style="945" customWidth="1"/>
    <col min="10516" max="10757" width="9.140625" style="945"/>
    <col min="10758" max="10758" width="4.140625" style="945" customWidth="1"/>
    <col min="10759" max="10759" width="24.5703125" style="945" customWidth="1"/>
    <col min="10760" max="10760" width="17.7109375" style="945" bestFit="1" customWidth="1"/>
    <col min="10761" max="10761" width="12.5703125" style="945" bestFit="1" customWidth="1"/>
    <col min="10762" max="10762" width="14.5703125" style="945" bestFit="1" customWidth="1"/>
    <col min="10763" max="10763" width="17.5703125" style="945" customWidth="1"/>
    <col min="10764" max="10764" width="6.42578125" style="945" customWidth="1"/>
    <col min="10765" max="10765" width="15.5703125" style="945" bestFit="1" customWidth="1"/>
    <col min="10766" max="10766" width="17.7109375" style="945" bestFit="1" customWidth="1"/>
    <col min="10767" max="10767" width="9.140625" style="945"/>
    <col min="10768" max="10768" width="10.28515625" style="945" customWidth="1"/>
    <col min="10769" max="10769" width="9.140625" style="945"/>
    <col min="10770" max="10770" width="9.28515625" style="945" customWidth="1"/>
    <col min="10771" max="10771" width="10" style="945" customWidth="1"/>
    <col min="10772" max="11013" width="9.140625" style="945"/>
    <col min="11014" max="11014" width="4.140625" style="945" customWidth="1"/>
    <col min="11015" max="11015" width="24.5703125" style="945" customWidth="1"/>
    <col min="11016" max="11016" width="17.7109375" style="945" bestFit="1" customWidth="1"/>
    <col min="11017" max="11017" width="12.5703125" style="945" bestFit="1" customWidth="1"/>
    <col min="11018" max="11018" width="14.5703125" style="945" bestFit="1" customWidth="1"/>
    <col min="11019" max="11019" width="17.5703125" style="945" customWidth="1"/>
    <col min="11020" max="11020" width="6.42578125" style="945" customWidth="1"/>
    <col min="11021" max="11021" width="15.5703125" style="945" bestFit="1" customWidth="1"/>
    <col min="11022" max="11022" width="17.7109375" style="945" bestFit="1" customWidth="1"/>
    <col min="11023" max="11023" width="9.140625" style="945"/>
    <col min="11024" max="11024" width="10.28515625" style="945" customWidth="1"/>
    <col min="11025" max="11025" width="9.140625" style="945"/>
    <col min="11026" max="11026" width="9.28515625" style="945" customWidth="1"/>
    <col min="11027" max="11027" width="10" style="945" customWidth="1"/>
    <col min="11028" max="11269" width="9.140625" style="945"/>
    <col min="11270" max="11270" width="4.140625" style="945" customWidth="1"/>
    <col min="11271" max="11271" width="24.5703125" style="945" customWidth="1"/>
    <col min="11272" max="11272" width="17.7109375" style="945" bestFit="1" customWidth="1"/>
    <col min="11273" max="11273" width="12.5703125" style="945" bestFit="1" customWidth="1"/>
    <col min="11274" max="11274" width="14.5703125" style="945" bestFit="1" customWidth="1"/>
    <col min="11275" max="11275" width="17.5703125" style="945" customWidth="1"/>
    <col min="11276" max="11276" width="6.42578125" style="945" customWidth="1"/>
    <col min="11277" max="11277" width="15.5703125" style="945" bestFit="1" customWidth="1"/>
    <col min="11278" max="11278" width="17.7109375" style="945" bestFit="1" customWidth="1"/>
    <col min="11279" max="11279" width="9.140625" style="945"/>
    <col min="11280" max="11280" width="10.28515625" style="945" customWidth="1"/>
    <col min="11281" max="11281" width="9.140625" style="945"/>
    <col min="11282" max="11282" width="9.28515625" style="945" customWidth="1"/>
    <col min="11283" max="11283" width="10" style="945" customWidth="1"/>
    <col min="11284" max="11525" width="9.140625" style="945"/>
    <col min="11526" max="11526" width="4.140625" style="945" customWidth="1"/>
    <col min="11527" max="11527" width="24.5703125" style="945" customWidth="1"/>
    <col min="11528" max="11528" width="17.7109375" style="945" bestFit="1" customWidth="1"/>
    <col min="11529" max="11529" width="12.5703125" style="945" bestFit="1" customWidth="1"/>
    <col min="11530" max="11530" width="14.5703125" style="945" bestFit="1" customWidth="1"/>
    <col min="11531" max="11531" width="17.5703125" style="945" customWidth="1"/>
    <col min="11532" max="11532" width="6.42578125" style="945" customWidth="1"/>
    <col min="11533" max="11533" width="15.5703125" style="945" bestFit="1" customWidth="1"/>
    <col min="11534" max="11534" width="17.7109375" style="945" bestFit="1" customWidth="1"/>
    <col min="11535" max="11535" width="9.140625" style="945"/>
    <col min="11536" max="11536" width="10.28515625" style="945" customWidth="1"/>
    <col min="11537" max="11537" width="9.140625" style="945"/>
    <col min="11538" max="11538" width="9.28515625" style="945" customWidth="1"/>
    <col min="11539" max="11539" width="10" style="945" customWidth="1"/>
    <col min="11540" max="11781" width="9.140625" style="945"/>
    <col min="11782" max="11782" width="4.140625" style="945" customWidth="1"/>
    <col min="11783" max="11783" width="24.5703125" style="945" customWidth="1"/>
    <col min="11784" max="11784" width="17.7109375" style="945" bestFit="1" customWidth="1"/>
    <col min="11785" max="11785" width="12.5703125" style="945" bestFit="1" customWidth="1"/>
    <col min="11786" max="11786" width="14.5703125" style="945" bestFit="1" customWidth="1"/>
    <col min="11787" max="11787" width="17.5703125" style="945" customWidth="1"/>
    <col min="11788" max="11788" width="6.42578125" style="945" customWidth="1"/>
    <col min="11789" max="11789" width="15.5703125" style="945" bestFit="1" customWidth="1"/>
    <col min="11790" max="11790" width="17.7109375" style="945" bestFit="1" customWidth="1"/>
    <col min="11791" max="11791" width="9.140625" style="945"/>
    <col min="11792" max="11792" width="10.28515625" style="945" customWidth="1"/>
    <col min="11793" max="11793" width="9.140625" style="945"/>
    <col min="11794" max="11794" width="9.28515625" style="945" customWidth="1"/>
    <col min="11795" max="11795" width="10" style="945" customWidth="1"/>
    <col min="11796" max="12037" width="9.140625" style="945"/>
    <col min="12038" max="12038" width="4.140625" style="945" customWidth="1"/>
    <col min="12039" max="12039" width="24.5703125" style="945" customWidth="1"/>
    <col min="12040" max="12040" width="17.7109375" style="945" bestFit="1" customWidth="1"/>
    <col min="12041" max="12041" width="12.5703125" style="945" bestFit="1" customWidth="1"/>
    <col min="12042" max="12042" width="14.5703125" style="945" bestFit="1" customWidth="1"/>
    <col min="12043" max="12043" width="17.5703125" style="945" customWidth="1"/>
    <col min="12044" max="12044" width="6.42578125" style="945" customWidth="1"/>
    <col min="12045" max="12045" width="15.5703125" style="945" bestFit="1" customWidth="1"/>
    <col min="12046" max="12046" width="17.7109375" style="945" bestFit="1" customWidth="1"/>
    <col min="12047" max="12047" width="9.140625" style="945"/>
    <col min="12048" max="12048" width="10.28515625" style="945" customWidth="1"/>
    <col min="12049" max="12049" width="9.140625" style="945"/>
    <col min="12050" max="12050" width="9.28515625" style="945" customWidth="1"/>
    <col min="12051" max="12051" width="10" style="945" customWidth="1"/>
    <col min="12052" max="12293" width="9.140625" style="945"/>
    <col min="12294" max="12294" width="4.140625" style="945" customWidth="1"/>
    <col min="12295" max="12295" width="24.5703125" style="945" customWidth="1"/>
    <col min="12296" max="12296" width="17.7109375" style="945" bestFit="1" customWidth="1"/>
    <col min="12297" max="12297" width="12.5703125" style="945" bestFit="1" customWidth="1"/>
    <col min="12298" max="12298" width="14.5703125" style="945" bestFit="1" customWidth="1"/>
    <col min="12299" max="12299" width="17.5703125" style="945" customWidth="1"/>
    <col min="12300" max="12300" width="6.42578125" style="945" customWidth="1"/>
    <col min="12301" max="12301" width="15.5703125" style="945" bestFit="1" customWidth="1"/>
    <col min="12302" max="12302" width="17.7109375" style="945" bestFit="1" customWidth="1"/>
    <col min="12303" max="12303" width="9.140625" style="945"/>
    <col min="12304" max="12304" width="10.28515625" style="945" customWidth="1"/>
    <col min="12305" max="12305" width="9.140625" style="945"/>
    <col min="12306" max="12306" width="9.28515625" style="945" customWidth="1"/>
    <col min="12307" max="12307" width="10" style="945" customWidth="1"/>
    <col min="12308" max="12549" width="9.140625" style="945"/>
    <col min="12550" max="12550" width="4.140625" style="945" customWidth="1"/>
    <col min="12551" max="12551" width="24.5703125" style="945" customWidth="1"/>
    <col min="12552" max="12552" width="17.7109375" style="945" bestFit="1" customWidth="1"/>
    <col min="12553" max="12553" width="12.5703125" style="945" bestFit="1" customWidth="1"/>
    <col min="12554" max="12554" width="14.5703125" style="945" bestFit="1" customWidth="1"/>
    <col min="12555" max="12555" width="17.5703125" style="945" customWidth="1"/>
    <col min="12556" max="12556" width="6.42578125" style="945" customWidth="1"/>
    <col min="12557" max="12557" width="15.5703125" style="945" bestFit="1" customWidth="1"/>
    <col min="12558" max="12558" width="17.7109375" style="945" bestFit="1" customWidth="1"/>
    <col min="12559" max="12559" width="9.140625" style="945"/>
    <col min="12560" max="12560" width="10.28515625" style="945" customWidth="1"/>
    <col min="12561" max="12561" width="9.140625" style="945"/>
    <col min="12562" max="12562" width="9.28515625" style="945" customWidth="1"/>
    <col min="12563" max="12563" width="10" style="945" customWidth="1"/>
    <col min="12564" max="12805" width="9.140625" style="945"/>
    <col min="12806" max="12806" width="4.140625" style="945" customWidth="1"/>
    <col min="12807" max="12807" width="24.5703125" style="945" customWidth="1"/>
    <col min="12808" max="12808" width="17.7109375" style="945" bestFit="1" customWidth="1"/>
    <col min="12809" max="12809" width="12.5703125" style="945" bestFit="1" customWidth="1"/>
    <col min="12810" max="12810" width="14.5703125" style="945" bestFit="1" customWidth="1"/>
    <col min="12811" max="12811" width="17.5703125" style="945" customWidth="1"/>
    <col min="12812" max="12812" width="6.42578125" style="945" customWidth="1"/>
    <col min="12813" max="12813" width="15.5703125" style="945" bestFit="1" customWidth="1"/>
    <col min="12814" max="12814" width="17.7109375" style="945" bestFit="1" customWidth="1"/>
    <col min="12815" max="12815" width="9.140625" style="945"/>
    <col min="12816" max="12816" width="10.28515625" style="945" customWidth="1"/>
    <col min="12817" max="12817" width="9.140625" style="945"/>
    <col min="12818" max="12818" width="9.28515625" style="945" customWidth="1"/>
    <col min="12819" max="12819" width="10" style="945" customWidth="1"/>
    <col min="12820" max="13061" width="9.140625" style="945"/>
    <col min="13062" max="13062" width="4.140625" style="945" customWidth="1"/>
    <col min="13063" max="13063" width="24.5703125" style="945" customWidth="1"/>
    <col min="13064" max="13064" width="17.7109375" style="945" bestFit="1" customWidth="1"/>
    <col min="13065" max="13065" width="12.5703125" style="945" bestFit="1" customWidth="1"/>
    <col min="13066" max="13066" width="14.5703125" style="945" bestFit="1" customWidth="1"/>
    <col min="13067" max="13067" width="17.5703125" style="945" customWidth="1"/>
    <col min="13068" max="13068" width="6.42578125" style="945" customWidth="1"/>
    <col min="13069" max="13069" width="15.5703125" style="945" bestFit="1" customWidth="1"/>
    <col min="13070" max="13070" width="17.7109375" style="945" bestFit="1" customWidth="1"/>
    <col min="13071" max="13071" width="9.140625" style="945"/>
    <col min="13072" max="13072" width="10.28515625" style="945" customWidth="1"/>
    <col min="13073" max="13073" width="9.140625" style="945"/>
    <col min="13074" max="13074" width="9.28515625" style="945" customWidth="1"/>
    <col min="13075" max="13075" width="10" style="945" customWidth="1"/>
    <col min="13076" max="13317" width="9.140625" style="945"/>
    <col min="13318" max="13318" width="4.140625" style="945" customWidth="1"/>
    <col min="13319" max="13319" width="24.5703125" style="945" customWidth="1"/>
    <col min="13320" max="13320" width="17.7109375" style="945" bestFit="1" customWidth="1"/>
    <col min="13321" max="13321" width="12.5703125" style="945" bestFit="1" customWidth="1"/>
    <col min="13322" max="13322" width="14.5703125" style="945" bestFit="1" customWidth="1"/>
    <col min="13323" max="13323" width="17.5703125" style="945" customWidth="1"/>
    <col min="13324" max="13324" width="6.42578125" style="945" customWidth="1"/>
    <col min="13325" max="13325" width="15.5703125" style="945" bestFit="1" customWidth="1"/>
    <col min="13326" max="13326" width="17.7109375" style="945" bestFit="1" customWidth="1"/>
    <col min="13327" max="13327" width="9.140625" style="945"/>
    <col min="13328" max="13328" width="10.28515625" style="945" customWidth="1"/>
    <col min="13329" max="13329" width="9.140625" style="945"/>
    <col min="13330" max="13330" width="9.28515625" style="945" customWidth="1"/>
    <col min="13331" max="13331" width="10" style="945" customWidth="1"/>
    <col min="13332" max="13573" width="9.140625" style="945"/>
    <col min="13574" max="13574" width="4.140625" style="945" customWidth="1"/>
    <col min="13575" max="13575" width="24.5703125" style="945" customWidth="1"/>
    <col min="13576" max="13576" width="17.7109375" style="945" bestFit="1" customWidth="1"/>
    <col min="13577" max="13577" width="12.5703125" style="945" bestFit="1" customWidth="1"/>
    <col min="13578" max="13578" width="14.5703125" style="945" bestFit="1" customWidth="1"/>
    <col min="13579" max="13579" width="17.5703125" style="945" customWidth="1"/>
    <col min="13580" max="13580" width="6.42578125" style="945" customWidth="1"/>
    <col min="13581" max="13581" width="15.5703125" style="945" bestFit="1" customWidth="1"/>
    <col min="13582" max="13582" width="17.7109375" style="945" bestFit="1" customWidth="1"/>
    <col min="13583" max="13583" width="9.140625" style="945"/>
    <col min="13584" max="13584" width="10.28515625" style="945" customWidth="1"/>
    <col min="13585" max="13585" width="9.140625" style="945"/>
    <col min="13586" max="13586" width="9.28515625" style="945" customWidth="1"/>
    <col min="13587" max="13587" width="10" style="945" customWidth="1"/>
    <col min="13588" max="13829" width="9.140625" style="945"/>
    <col min="13830" max="13830" width="4.140625" style="945" customWidth="1"/>
    <col min="13831" max="13831" width="24.5703125" style="945" customWidth="1"/>
    <col min="13832" max="13832" width="17.7109375" style="945" bestFit="1" customWidth="1"/>
    <col min="13833" max="13833" width="12.5703125" style="945" bestFit="1" customWidth="1"/>
    <col min="13834" max="13834" width="14.5703125" style="945" bestFit="1" customWidth="1"/>
    <col min="13835" max="13835" width="17.5703125" style="945" customWidth="1"/>
    <col min="13836" max="13836" width="6.42578125" style="945" customWidth="1"/>
    <col min="13837" max="13837" width="15.5703125" style="945" bestFit="1" customWidth="1"/>
    <col min="13838" max="13838" width="17.7109375" style="945" bestFit="1" customWidth="1"/>
    <col min="13839" max="13839" width="9.140625" style="945"/>
    <col min="13840" max="13840" width="10.28515625" style="945" customWidth="1"/>
    <col min="13841" max="13841" width="9.140625" style="945"/>
    <col min="13842" max="13842" width="9.28515625" style="945" customWidth="1"/>
    <col min="13843" max="13843" width="10" style="945" customWidth="1"/>
    <col min="13844" max="14085" width="9.140625" style="945"/>
    <col min="14086" max="14086" width="4.140625" style="945" customWidth="1"/>
    <col min="14087" max="14087" width="24.5703125" style="945" customWidth="1"/>
    <col min="14088" max="14088" width="17.7109375" style="945" bestFit="1" customWidth="1"/>
    <col min="14089" max="14089" width="12.5703125" style="945" bestFit="1" customWidth="1"/>
    <col min="14090" max="14090" width="14.5703125" style="945" bestFit="1" customWidth="1"/>
    <col min="14091" max="14091" width="17.5703125" style="945" customWidth="1"/>
    <col min="14092" max="14092" width="6.42578125" style="945" customWidth="1"/>
    <col min="14093" max="14093" width="15.5703125" style="945" bestFit="1" customWidth="1"/>
    <col min="14094" max="14094" width="17.7109375" style="945" bestFit="1" customWidth="1"/>
    <col min="14095" max="14095" width="9.140625" style="945"/>
    <col min="14096" max="14096" width="10.28515625" style="945" customWidth="1"/>
    <col min="14097" max="14097" width="9.140625" style="945"/>
    <col min="14098" max="14098" width="9.28515625" style="945" customWidth="1"/>
    <col min="14099" max="14099" width="10" style="945" customWidth="1"/>
    <col min="14100" max="14341" width="9.140625" style="945"/>
    <col min="14342" max="14342" width="4.140625" style="945" customWidth="1"/>
    <col min="14343" max="14343" width="24.5703125" style="945" customWidth="1"/>
    <col min="14344" max="14344" width="17.7109375" style="945" bestFit="1" customWidth="1"/>
    <col min="14345" max="14345" width="12.5703125" style="945" bestFit="1" customWidth="1"/>
    <col min="14346" max="14346" width="14.5703125" style="945" bestFit="1" customWidth="1"/>
    <col min="14347" max="14347" width="17.5703125" style="945" customWidth="1"/>
    <col min="14348" max="14348" width="6.42578125" style="945" customWidth="1"/>
    <col min="14349" max="14349" width="15.5703125" style="945" bestFit="1" customWidth="1"/>
    <col min="14350" max="14350" width="17.7109375" style="945" bestFit="1" customWidth="1"/>
    <col min="14351" max="14351" width="9.140625" style="945"/>
    <col min="14352" max="14352" width="10.28515625" style="945" customWidth="1"/>
    <col min="14353" max="14353" width="9.140625" style="945"/>
    <col min="14354" max="14354" width="9.28515625" style="945" customWidth="1"/>
    <col min="14355" max="14355" width="10" style="945" customWidth="1"/>
    <col min="14356" max="14597" width="9.140625" style="945"/>
    <col min="14598" max="14598" width="4.140625" style="945" customWidth="1"/>
    <col min="14599" max="14599" width="24.5703125" style="945" customWidth="1"/>
    <col min="14600" max="14600" width="17.7109375" style="945" bestFit="1" customWidth="1"/>
    <col min="14601" max="14601" width="12.5703125" style="945" bestFit="1" customWidth="1"/>
    <col min="14602" max="14602" width="14.5703125" style="945" bestFit="1" customWidth="1"/>
    <col min="14603" max="14603" width="17.5703125" style="945" customWidth="1"/>
    <col min="14604" max="14604" width="6.42578125" style="945" customWidth="1"/>
    <col min="14605" max="14605" width="15.5703125" style="945" bestFit="1" customWidth="1"/>
    <col min="14606" max="14606" width="17.7109375" style="945" bestFit="1" customWidth="1"/>
    <col min="14607" max="14607" width="9.140625" style="945"/>
    <col min="14608" max="14608" width="10.28515625" style="945" customWidth="1"/>
    <col min="14609" max="14609" width="9.140625" style="945"/>
    <col min="14610" max="14610" width="9.28515625" style="945" customWidth="1"/>
    <col min="14611" max="14611" width="10" style="945" customWidth="1"/>
    <col min="14612" max="14853" width="9.140625" style="945"/>
    <col min="14854" max="14854" width="4.140625" style="945" customWidth="1"/>
    <col min="14855" max="14855" width="24.5703125" style="945" customWidth="1"/>
    <col min="14856" max="14856" width="17.7109375" style="945" bestFit="1" customWidth="1"/>
    <col min="14857" max="14857" width="12.5703125" style="945" bestFit="1" customWidth="1"/>
    <col min="14858" max="14858" width="14.5703125" style="945" bestFit="1" customWidth="1"/>
    <col min="14859" max="14859" width="17.5703125" style="945" customWidth="1"/>
    <col min="14860" max="14860" width="6.42578125" style="945" customWidth="1"/>
    <col min="14861" max="14861" width="15.5703125" style="945" bestFit="1" customWidth="1"/>
    <col min="14862" max="14862" width="17.7109375" style="945" bestFit="1" customWidth="1"/>
    <col min="14863" max="14863" width="9.140625" style="945"/>
    <col min="14864" max="14864" width="10.28515625" style="945" customWidth="1"/>
    <col min="14865" max="14865" width="9.140625" style="945"/>
    <col min="14866" max="14866" width="9.28515625" style="945" customWidth="1"/>
    <col min="14867" max="14867" width="10" style="945" customWidth="1"/>
    <col min="14868" max="15109" width="9.140625" style="945"/>
    <col min="15110" max="15110" width="4.140625" style="945" customWidth="1"/>
    <col min="15111" max="15111" width="24.5703125" style="945" customWidth="1"/>
    <col min="15112" max="15112" width="17.7109375" style="945" bestFit="1" customWidth="1"/>
    <col min="15113" max="15113" width="12.5703125" style="945" bestFit="1" customWidth="1"/>
    <col min="15114" max="15114" width="14.5703125" style="945" bestFit="1" customWidth="1"/>
    <col min="15115" max="15115" width="17.5703125" style="945" customWidth="1"/>
    <col min="15116" max="15116" width="6.42578125" style="945" customWidth="1"/>
    <col min="15117" max="15117" width="15.5703125" style="945" bestFit="1" customWidth="1"/>
    <col min="15118" max="15118" width="17.7109375" style="945" bestFit="1" customWidth="1"/>
    <col min="15119" max="15119" width="9.140625" style="945"/>
    <col min="15120" max="15120" width="10.28515625" style="945" customWidth="1"/>
    <col min="15121" max="15121" width="9.140625" style="945"/>
    <col min="15122" max="15122" width="9.28515625" style="945" customWidth="1"/>
    <col min="15123" max="15123" width="10" style="945" customWidth="1"/>
    <col min="15124" max="15365" width="9.140625" style="945"/>
    <col min="15366" max="15366" width="4.140625" style="945" customWidth="1"/>
    <col min="15367" max="15367" width="24.5703125" style="945" customWidth="1"/>
    <col min="15368" max="15368" width="17.7109375" style="945" bestFit="1" customWidth="1"/>
    <col min="15369" max="15369" width="12.5703125" style="945" bestFit="1" customWidth="1"/>
    <col min="15370" max="15370" width="14.5703125" style="945" bestFit="1" customWidth="1"/>
    <col min="15371" max="15371" width="17.5703125" style="945" customWidth="1"/>
    <col min="15372" max="15372" width="6.42578125" style="945" customWidth="1"/>
    <col min="15373" max="15373" width="15.5703125" style="945" bestFit="1" customWidth="1"/>
    <col min="15374" max="15374" width="17.7109375" style="945" bestFit="1" customWidth="1"/>
    <col min="15375" max="15375" width="9.140625" style="945"/>
    <col min="15376" max="15376" width="10.28515625" style="945" customWidth="1"/>
    <col min="15377" max="15377" width="9.140625" style="945"/>
    <col min="15378" max="15378" width="9.28515625" style="945" customWidth="1"/>
    <col min="15379" max="15379" width="10" style="945" customWidth="1"/>
    <col min="15380" max="15621" width="9.140625" style="945"/>
    <col min="15622" max="15622" width="4.140625" style="945" customWidth="1"/>
    <col min="15623" max="15623" width="24.5703125" style="945" customWidth="1"/>
    <col min="15624" max="15624" width="17.7109375" style="945" bestFit="1" customWidth="1"/>
    <col min="15625" max="15625" width="12.5703125" style="945" bestFit="1" customWidth="1"/>
    <col min="15626" max="15626" width="14.5703125" style="945" bestFit="1" customWidth="1"/>
    <col min="15627" max="15627" width="17.5703125" style="945" customWidth="1"/>
    <col min="15628" max="15628" width="6.42578125" style="945" customWidth="1"/>
    <col min="15629" max="15629" width="15.5703125" style="945" bestFit="1" customWidth="1"/>
    <col min="15630" max="15630" width="17.7109375" style="945" bestFit="1" customWidth="1"/>
    <col min="15631" max="15631" width="9.140625" style="945"/>
    <col min="15632" max="15632" width="10.28515625" style="945" customWidth="1"/>
    <col min="15633" max="15633" width="9.140625" style="945"/>
    <col min="15634" max="15634" width="9.28515625" style="945" customWidth="1"/>
    <col min="15635" max="15635" width="10" style="945" customWidth="1"/>
    <col min="15636" max="15877" width="9.140625" style="945"/>
    <col min="15878" max="15878" width="4.140625" style="945" customWidth="1"/>
    <col min="15879" max="15879" width="24.5703125" style="945" customWidth="1"/>
    <col min="15880" max="15880" width="17.7109375" style="945" bestFit="1" customWidth="1"/>
    <col min="15881" max="15881" width="12.5703125" style="945" bestFit="1" customWidth="1"/>
    <col min="15882" max="15882" width="14.5703125" style="945" bestFit="1" customWidth="1"/>
    <col min="15883" max="15883" width="17.5703125" style="945" customWidth="1"/>
    <col min="15884" max="15884" width="6.42578125" style="945" customWidth="1"/>
    <col min="15885" max="15885" width="15.5703125" style="945" bestFit="1" customWidth="1"/>
    <col min="15886" max="15886" width="17.7109375" style="945" bestFit="1" customWidth="1"/>
    <col min="15887" max="15887" width="9.140625" style="945"/>
    <col min="15888" max="15888" width="10.28515625" style="945" customWidth="1"/>
    <col min="15889" max="15889" width="9.140625" style="945"/>
    <col min="15890" max="15890" width="9.28515625" style="945" customWidth="1"/>
    <col min="15891" max="15891" width="10" style="945" customWidth="1"/>
    <col min="15892" max="16133" width="9.140625" style="945"/>
    <col min="16134" max="16134" width="4.140625" style="945" customWidth="1"/>
    <col min="16135" max="16135" width="24.5703125" style="945" customWidth="1"/>
    <col min="16136" max="16136" width="17.7109375" style="945" bestFit="1" customWidth="1"/>
    <col min="16137" max="16137" width="12.5703125" style="945" bestFit="1" customWidth="1"/>
    <col min="16138" max="16138" width="14.5703125" style="945" bestFit="1" customWidth="1"/>
    <col min="16139" max="16139" width="17.5703125" style="945" customWidth="1"/>
    <col min="16140" max="16140" width="6.42578125" style="945" customWidth="1"/>
    <col min="16141" max="16141" width="15.5703125" style="945" bestFit="1" customWidth="1"/>
    <col min="16142" max="16142" width="17.7109375" style="945" bestFit="1" customWidth="1"/>
    <col min="16143" max="16143" width="9.140625" style="945"/>
    <col min="16144" max="16144" width="10.28515625" style="945" customWidth="1"/>
    <col min="16145" max="16145" width="9.140625" style="945"/>
    <col min="16146" max="16146" width="9.28515625" style="945" customWidth="1"/>
    <col min="16147" max="16147" width="10" style="945" customWidth="1"/>
    <col min="16148" max="16384" width="9.140625" style="945"/>
  </cols>
  <sheetData>
    <row r="1" spans="1:26" ht="15" customHeight="1" thickBot="1">
      <c r="A1" s="1380" t="s">
        <v>1246</v>
      </c>
      <c r="B1" s="1381"/>
      <c r="C1" s="1381"/>
      <c r="D1" s="1381"/>
      <c r="E1" s="1381"/>
      <c r="F1" s="1381"/>
      <c r="G1" s="1381"/>
      <c r="H1" s="1381"/>
      <c r="I1" s="1381"/>
      <c r="J1" s="1381"/>
      <c r="K1" s="1381"/>
      <c r="L1" s="1381"/>
      <c r="M1" s="1382"/>
    </row>
    <row r="2" spans="1:26" ht="15" customHeight="1" thickBot="1">
      <c r="A2" s="1383" t="s">
        <v>60</v>
      </c>
      <c r="B2" s="1384"/>
      <c r="C2" s="1384"/>
      <c r="D2" s="1384"/>
      <c r="E2" s="1384"/>
      <c r="F2" s="1384"/>
      <c r="G2" s="1384"/>
      <c r="H2" s="1384"/>
      <c r="I2" s="1384"/>
      <c r="J2" s="1384"/>
      <c r="K2" s="1384"/>
      <c r="L2" s="1384"/>
      <c r="M2" s="1385"/>
    </row>
    <row r="3" spans="1:26" ht="15.75" customHeight="1">
      <c r="A3" s="785"/>
      <c r="B3" s="785"/>
      <c r="C3" s="946"/>
      <c r="D3" s="946"/>
      <c r="E3" s="946"/>
      <c r="F3" s="946"/>
      <c r="G3" s="946"/>
      <c r="H3" s="947"/>
      <c r="I3" s="947"/>
      <c r="J3" s="947"/>
      <c r="K3" s="947"/>
      <c r="L3" s="947"/>
      <c r="M3" s="947"/>
    </row>
    <row r="4" spans="1:26" s="678" customFormat="1" ht="15.75" thickBot="1">
      <c r="A4" s="945"/>
      <c r="B4" s="945"/>
      <c r="C4" s="948"/>
      <c r="D4" s="675"/>
      <c r="E4" s="949"/>
      <c r="F4" s="676"/>
      <c r="G4" s="677"/>
      <c r="H4" s="659"/>
      <c r="I4" s="659"/>
      <c r="J4" s="659"/>
      <c r="K4" s="659"/>
      <c r="L4" s="659"/>
      <c r="M4" s="659"/>
      <c r="N4" s="945"/>
      <c r="O4" s="945"/>
      <c r="P4" s="945"/>
      <c r="Q4" s="945"/>
      <c r="R4" s="945"/>
    </row>
    <row r="5" spans="1:26" ht="15" customHeight="1" thickBot="1">
      <c r="A5" s="950" t="s">
        <v>1205</v>
      </c>
      <c r="B5" s="1377" t="s">
        <v>1224</v>
      </c>
      <c r="C5" s="1378"/>
      <c r="D5" s="1378"/>
      <c r="E5" s="1378"/>
      <c r="F5" s="1378"/>
      <c r="G5" s="1378"/>
      <c r="H5" s="1378"/>
      <c r="I5" s="1378"/>
      <c r="J5" s="1378"/>
      <c r="K5" s="1378"/>
      <c r="L5" s="1377"/>
      <c r="M5" s="1379"/>
    </row>
    <row r="6" spans="1:26">
      <c r="A6" s="951" t="s">
        <v>970</v>
      </c>
      <c r="B6" s="952" t="s">
        <v>856</v>
      </c>
      <c r="C6" s="953" t="s">
        <v>986</v>
      </c>
      <c r="D6" s="1392" t="s">
        <v>82</v>
      </c>
      <c r="E6" s="1392" t="s">
        <v>869</v>
      </c>
      <c r="F6" s="954" t="s">
        <v>987</v>
      </c>
      <c r="G6" s="1389" t="s">
        <v>838</v>
      </c>
      <c r="H6" s="1390"/>
      <c r="I6" s="1390"/>
      <c r="J6" s="1390"/>
      <c r="K6" s="1391"/>
      <c r="L6" s="955" t="s">
        <v>971</v>
      </c>
      <c r="M6" s="956" t="s">
        <v>971</v>
      </c>
    </row>
    <row r="7" spans="1:26" ht="45">
      <c r="A7" s="957"/>
      <c r="B7" s="958"/>
      <c r="C7" s="959" t="s">
        <v>1225</v>
      </c>
      <c r="D7" s="1393"/>
      <c r="E7" s="1393"/>
      <c r="F7" s="960" t="s">
        <v>1226</v>
      </c>
      <c r="G7" s="961" t="s">
        <v>1227</v>
      </c>
      <c r="H7" s="962" t="s">
        <v>1228</v>
      </c>
      <c r="I7" s="1025" t="s">
        <v>1147</v>
      </c>
      <c r="J7" s="963" t="s">
        <v>988</v>
      </c>
      <c r="K7" s="964" t="s">
        <v>1229</v>
      </c>
      <c r="L7" s="965" t="s">
        <v>1226</v>
      </c>
      <c r="M7" s="964" t="s">
        <v>1091</v>
      </c>
    </row>
    <row r="8" spans="1:26" s="1023" customFormat="1">
      <c r="A8" s="1018"/>
      <c r="B8" s="1019"/>
      <c r="C8" s="966" t="s">
        <v>1148</v>
      </c>
      <c r="D8" s="1020" t="s">
        <v>1148</v>
      </c>
      <c r="E8" s="1020" t="s">
        <v>1148</v>
      </c>
      <c r="F8" s="1020" t="s">
        <v>1148</v>
      </c>
      <c r="G8" s="966" t="s">
        <v>1148</v>
      </c>
      <c r="H8" s="1020" t="s">
        <v>1148</v>
      </c>
      <c r="I8" s="1020" t="s">
        <v>1148</v>
      </c>
      <c r="J8" s="1020" t="s">
        <v>1148</v>
      </c>
      <c r="K8" s="1021" t="s">
        <v>1148</v>
      </c>
      <c r="L8" s="1022" t="s">
        <v>1148</v>
      </c>
      <c r="M8" s="1021" t="s">
        <v>1148</v>
      </c>
    </row>
    <row r="9" spans="1:26">
      <c r="A9" s="967">
        <v>1</v>
      </c>
      <c r="B9" s="968" t="s">
        <v>864</v>
      </c>
      <c r="C9" s="969"/>
      <c r="D9" s="1158"/>
      <c r="E9" s="771"/>
      <c r="F9" s="1006"/>
      <c r="G9" s="970"/>
      <c r="H9" s="971"/>
      <c r="I9" s="771"/>
      <c r="J9" s="971"/>
      <c r="K9" s="972"/>
      <c r="L9" s="1200">
        <f>F9-K9</f>
        <v>0</v>
      </c>
      <c r="M9" s="972">
        <f>C9-G9</f>
        <v>0</v>
      </c>
      <c r="N9" s="974"/>
      <c r="O9" s="975"/>
      <c r="P9" s="976"/>
      <c r="R9" s="977"/>
    </row>
    <row r="10" spans="1:26">
      <c r="A10" s="967">
        <v>2</v>
      </c>
      <c r="B10" s="968" t="s">
        <v>873</v>
      </c>
      <c r="C10" s="969"/>
      <c r="D10" s="1158"/>
      <c r="E10" s="771"/>
      <c r="F10" s="1006"/>
      <c r="G10" s="970"/>
      <c r="H10" s="971"/>
      <c r="I10" s="771"/>
      <c r="J10" s="971"/>
      <c r="K10" s="972"/>
      <c r="L10" s="1200">
        <f>F10-K10</f>
        <v>0</v>
      </c>
      <c r="M10" s="972">
        <f>C10-G10</f>
        <v>0</v>
      </c>
      <c r="N10" s="974"/>
      <c r="O10" s="975"/>
      <c r="P10" s="976"/>
      <c r="R10" s="977"/>
      <c r="Z10" s="978"/>
    </row>
    <row r="11" spans="1:26">
      <c r="A11" s="967">
        <v>3</v>
      </c>
      <c r="B11" s="968" t="s">
        <v>874</v>
      </c>
      <c r="C11" s="969"/>
      <c r="D11" s="1158"/>
      <c r="E11" s="771"/>
      <c r="F11" s="1006"/>
      <c r="G11" s="970"/>
      <c r="H11" s="971"/>
      <c r="I11" s="771"/>
      <c r="J11" s="971"/>
      <c r="K11" s="972"/>
      <c r="L11" s="1200">
        <f>F11-K11</f>
        <v>0</v>
      </c>
      <c r="M11" s="972">
        <f>C11-G11</f>
        <v>0</v>
      </c>
      <c r="N11" s="974"/>
      <c r="O11" s="975"/>
      <c r="P11" s="976"/>
      <c r="R11" s="977"/>
    </row>
    <row r="12" spans="1:26">
      <c r="A12" s="979"/>
      <c r="B12" s="980"/>
      <c r="C12" s="981"/>
      <c r="D12" s="982"/>
      <c r="E12" s="982"/>
      <c r="F12" s="1015"/>
      <c r="G12" s="983"/>
      <c r="H12" s="984"/>
      <c r="I12" s="982"/>
      <c r="J12" s="984"/>
      <c r="K12" s="1159"/>
      <c r="L12" s="1160"/>
      <c r="M12" s="1159"/>
      <c r="Z12" s="978"/>
    </row>
    <row r="13" spans="1:26" ht="15.75" thickBot="1">
      <c r="A13" s="985"/>
      <c r="B13" s="986" t="s">
        <v>826</v>
      </c>
      <c r="C13" s="987">
        <f t="shared" ref="C13:M13" si="0">SUM(C8:C12)</f>
        <v>0</v>
      </c>
      <c r="D13" s="988">
        <f t="shared" si="0"/>
        <v>0</v>
      </c>
      <c r="E13" s="1162">
        <f t="shared" si="0"/>
        <v>0</v>
      </c>
      <c r="F13" s="991">
        <f t="shared" si="0"/>
        <v>0</v>
      </c>
      <c r="G13" s="987">
        <f t="shared" si="0"/>
        <v>0</v>
      </c>
      <c r="H13" s="990">
        <f t="shared" si="0"/>
        <v>0</v>
      </c>
      <c r="I13" s="1162">
        <f t="shared" si="0"/>
        <v>0</v>
      </c>
      <c r="J13" s="1161">
        <f t="shared" si="0"/>
        <v>0</v>
      </c>
      <c r="K13" s="991">
        <f t="shared" si="0"/>
        <v>0</v>
      </c>
      <c r="L13" s="1017">
        <f t="shared" si="0"/>
        <v>0</v>
      </c>
      <c r="M13" s="991">
        <f t="shared" si="0"/>
        <v>0</v>
      </c>
      <c r="O13" s="992" t="s">
        <v>914</v>
      </c>
      <c r="P13" s="993" t="s">
        <v>922</v>
      </c>
      <c r="Q13" s="993" t="s">
        <v>923</v>
      </c>
      <c r="R13" s="993" t="s">
        <v>926</v>
      </c>
      <c r="S13" s="993" t="s">
        <v>927</v>
      </c>
      <c r="T13" s="993" t="s">
        <v>969</v>
      </c>
      <c r="U13" s="993" t="s">
        <v>931</v>
      </c>
      <c r="V13" s="993" t="s">
        <v>930</v>
      </c>
    </row>
    <row r="14" spans="1:26" s="678" customFormat="1" hidden="1">
      <c r="A14" s="945"/>
      <c r="B14" s="945" t="s">
        <v>1146</v>
      </c>
      <c r="C14" s="994"/>
      <c r="D14" s="659" t="e">
        <f>'Notes 2 to 11'!B100</f>
        <v>#REF!</v>
      </c>
      <c r="E14" s="659"/>
      <c r="F14" s="733" t="e">
        <f>#REF!-#REF!</f>
        <v>#REF!</v>
      </c>
      <c r="G14" s="659"/>
      <c r="H14" s="679"/>
      <c r="I14" s="659"/>
      <c r="J14" s="679"/>
      <c r="K14" s="679" t="e">
        <f>#REF!-#REF!</f>
        <v>#REF!</v>
      </c>
      <c r="L14" s="679" t="e">
        <f>#REF!-#REF!</f>
        <v>#REF!</v>
      </c>
      <c r="M14" s="659"/>
      <c r="N14" s="974" t="s">
        <v>924</v>
      </c>
      <c r="O14" s="992" t="s">
        <v>911</v>
      </c>
      <c r="P14" s="993">
        <f>106446+19527+16551</f>
        <v>142524</v>
      </c>
      <c r="Q14" s="993">
        <f>817186</f>
        <v>817186</v>
      </c>
      <c r="R14" s="993">
        <v>142524</v>
      </c>
      <c r="S14" s="993"/>
      <c r="T14" s="680">
        <v>817186</v>
      </c>
      <c r="U14" s="681">
        <f>R14-S14</f>
        <v>142524</v>
      </c>
      <c r="V14" s="681">
        <f>P14-Q14</f>
        <v>-674662</v>
      </c>
      <c r="W14" s="678">
        <f>V14+V17</f>
        <v>-1254086</v>
      </c>
    </row>
    <row r="15" spans="1:26" s="678" customFormat="1" hidden="1">
      <c r="A15" s="945"/>
      <c r="B15" s="995" t="s">
        <v>1151</v>
      </c>
      <c r="C15" s="994"/>
      <c r="D15" s="734" t="e">
        <f>D13-D14</f>
        <v>#REF!</v>
      </c>
      <c r="E15" s="659"/>
      <c r="F15" s="1027" t="e">
        <f>F13-F14</f>
        <v>#REF!</v>
      </c>
      <c r="G15" s="659"/>
      <c r="H15" s="679"/>
      <c r="I15" s="659"/>
      <c r="J15" s="679"/>
      <c r="K15" s="1055" t="e">
        <f>K13-K14</f>
        <v>#REF!</v>
      </c>
      <c r="L15" s="1027" t="e">
        <f>L13-L14</f>
        <v>#REF!</v>
      </c>
      <c r="M15" s="659"/>
      <c r="N15" s="974"/>
      <c r="O15" s="996"/>
      <c r="P15" s="997"/>
      <c r="Q15" s="997"/>
      <c r="R15" s="997"/>
      <c r="S15" s="997"/>
      <c r="T15" s="731"/>
      <c r="U15" s="732"/>
      <c r="V15" s="732"/>
    </row>
    <row r="16" spans="1:26" s="678" customFormat="1" hidden="1">
      <c r="A16" s="945"/>
      <c r="B16" s="945" t="s">
        <v>1152</v>
      </c>
      <c r="C16" s="994"/>
      <c r="D16" s="659"/>
      <c r="E16" s="659"/>
      <c r="F16" s="659"/>
      <c r="G16" s="659"/>
      <c r="H16" s="679"/>
      <c r="I16" s="659"/>
      <c r="J16" s="679"/>
      <c r="K16" s="659"/>
      <c r="L16" s="679">
        <f>'Notes 2 to 11'!B19</f>
        <v>0</v>
      </c>
      <c r="M16" s="659"/>
      <c r="N16" s="974"/>
      <c r="O16" s="996"/>
      <c r="P16" s="997"/>
      <c r="Q16" s="997"/>
      <c r="R16" s="997"/>
      <c r="S16" s="997"/>
      <c r="T16" s="731"/>
      <c r="U16" s="732"/>
      <c r="V16" s="732"/>
    </row>
    <row r="17" spans="1:25" s="678" customFormat="1" hidden="1">
      <c r="A17" s="945"/>
      <c r="B17" s="995" t="s">
        <v>1178</v>
      </c>
      <c r="C17" s="994"/>
      <c r="D17" s="659"/>
      <c r="E17" s="659"/>
      <c r="F17" s="659"/>
      <c r="G17" s="659"/>
      <c r="H17" s="659"/>
      <c r="I17" s="659"/>
      <c r="J17" s="659"/>
      <c r="K17" s="659"/>
      <c r="L17" s="1027">
        <f>L13-L16</f>
        <v>0</v>
      </c>
      <c r="M17" s="1026"/>
      <c r="N17" s="974" t="s">
        <v>924</v>
      </c>
      <c r="O17" s="993" t="s">
        <v>912</v>
      </c>
      <c r="P17" s="993">
        <f>1616294+1456030+203869+341705</f>
        <v>3617898</v>
      </c>
      <c r="Q17" s="993">
        <f>4104650+92672</f>
        <v>4197322</v>
      </c>
      <c r="R17" s="993">
        <f>2001604+1616294</f>
        <v>3617898</v>
      </c>
      <c r="S17" s="993">
        <f>4104650+92672</f>
        <v>4197322</v>
      </c>
      <c r="T17" s="993"/>
      <c r="U17" s="681">
        <f t="shared" ref="U17:U24" si="1">R17-S17</f>
        <v>-579424</v>
      </c>
      <c r="V17" s="681">
        <f t="shared" ref="V17:V24" si="2">P17-Q17</f>
        <v>-579424</v>
      </c>
    </row>
    <row r="18" spans="1:25" s="1242" customFormat="1">
      <c r="A18" s="945"/>
      <c r="B18" s="945"/>
      <c r="C18" s="948"/>
      <c r="D18" s="1026"/>
      <c r="E18" s="1026"/>
      <c r="F18" s="1026"/>
      <c r="G18" s="1026"/>
      <c r="H18" s="1026"/>
      <c r="I18" s="1026"/>
      <c r="J18" s="1026"/>
      <c r="K18" s="1026"/>
      <c r="L18" s="1240"/>
      <c r="M18" s="1026"/>
      <c r="N18" s="974"/>
      <c r="O18" s="997"/>
      <c r="P18" s="997"/>
      <c r="Q18" s="997"/>
      <c r="R18" s="997"/>
      <c r="S18" s="997"/>
      <c r="T18" s="997"/>
      <c r="U18" s="1241"/>
      <c r="V18" s="1241"/>
    </row>
    <row r="19" spans="1:25" s="678" customFormat="1" ht="15.75" thickBot="1">
      <c r="A19" s="945"/>
      <c r="B19" s="945"/>
      <c r="C19" s="994"/>
      <c r="D19" s="659"/>
      <c r="E19" s="659"/>
      <c r="F19" s="659"/>
      <c r="G19" s="659"/>
      <c r="H19" s="659"/>
      <c r="I19" s="659"/>
      <c r="J19" s="659"/>
      <c r="K19" s="659"/>
      <c r="L19" s="659"/>
      <c r="M19" s="1026"/>
      <c r="N19" s="974"/>
      <c r="O19" s="997"/>
      <c r="P19" s="997"/>
      <c r="Q19" s="997"/>
      <c r="R19" s="997"/>
      <c r="S19" s="997"/>
      <c r="T19" s="997"/>
      <c r="U19" s="732"/>
      <c r="V19" s="732"/>
    </row>
    <row r="20" spans="1:25" ht="17.25" customHeight="1" thickBot="1">
      <c r="A20" s="950" t="s">
        <v>1206</v>
      </c>
      <c r="B20" s="1377" t="s">
        <v>1264</v>
      </c>
      <c r="C20" s="1378"/>
      <c r="D20" s="1378"/>
      <c r="E20" s="1378"/>
      <c r="F20" s="1378"/>
      <c r="G20" s="1378"/>
      <c r="H20" s="1378"/>
      <c r="I20" s="1378"/>
      <c r="J20" s="1378"/>
      <c r="K20" s="1378"/>
      <c r="L20" s="1377"/>
      <c r="M20" s="1379"/>
      <c r="N20" s="974" t="s">
        <v>924</v>
      </c>
      <c r="O20" s="993" t="s">
        <v>913</v>
      </c>
      <c r="P20" s="993">
        <f>1126629+709094+189930+429013</f>
        <v>2454666</v>
      </c>
      <c r="Q20" s="993"/>
      <c r="R20" s="993">
        <f>1328037+1126629</f>
        <v>2454666</v>
      </c>
      <c r="S20" s="993"/>
      <c r="T20" s="993"/>
      <c r="U20" s="681">
        <f t="shared" si="1"/>
        <v>2454666</v>
      </c>
      <c r="V20" s="681">
        <f t="shared" si="2"/>
        <v>2454666</v>
      </c>
    </row>
    <row r="21" spans="1:25">
      <c r="A21" s="951" t="s">
        <v>970</v>
      </c>
      <c r="B21" s="998" t="s">
        <v>856</v>
      </c>
      <c r="C21" s="953" t="s">
        <v>986</v>
      </c>
      <c r="D21" s="1392" t="s">
        <v>82</v>
      </c>
      <c r="E21" s="1394" t="s">
        <v>869</v>
      </c>
      <c r="F21" s="954" t="s">
        <v>987</v>
      </c>
      <c r="G21" s="1386" t="s">
        <v>222</v>
      </c>
      <c r="H21" s="1387"/>
      <c r="I21" s="1387"/>
      <c r="J21" s="1387"/>
      <c r="K21" s="1388"/>
      <c r="L21" s="955" t="s">
        <v>971</v>
      </c>
      <c r="M21" s="956" t="s">
        <v>971</v>
      </c>
      <c r="N21" s="945" t="s">
        <v>925</v>
      </c>
      <c r="O21" s="992" t="s">
        <v>911</v>
      </c>
      <c r="P21" s="993">
        <f>834171</f>
        <v>834171</v>
      </c>
      <c r="Q21" s="993">
        <v>1755842</v>
      </c>
      <c r="R21" s="993"/>
      <c r="S21" s="993"/>
      <c r="T21" s="993"/>
      <c r="U21" s="681">
        <f t="shared" si="1"/>
        <v>0</v>
      </c>
      <c r="V21" s="681">
        <f t="shared" si="2"/>
        <v>-921671</v>
      </c>
      <c r="W21" s="999">
        <f>V21+V22</f>
        <v>-716186</v>
      </c>
    </row>
    <row r="22" spans="1:25" ht="45">
      <c r="A22" s="957"/>
      <c r="B22" s="1000"/>
      <c r="C22" s="959" t="s">
        <v>1225</v>
      </c>
      <c r="D22" s="1393"/>
      <c r="E22" s="1395"/>
      <c r="F22" s="960" t="s">
        <v>1226</v>
      </c>
      <c r="G22" s="1001" t="s">
        <v>1230</v>
      </c>
      <c r="H22" s="962" t="s">
        <v>1228</v>
      </c>
      <c r="I22" s="1025" t="s">
        <v>1147</v>
      </c>
      <c r="J22" s="963" t="s">
        <v>988</v>
      </c>
      <c r="K22" s="964" t="s">
        <v>1229</v>
      </c>
      <c r="L22" s="965" t="s">
        <v>1226</v>
      </c>
      <c r="M22" s="964" t="s">
        <v>1091</v>
      </c>
      <c r="N22" s="945" t="s">
        <v>925</v>
      </c>
      <c r="O22" s="993" t="s">
        <v>912</v>
      </c>
      <c r="P22" s="993">
        <f>1333321</f>
        <v>1333321</v>
      </c>
      <c r="Q22" s="993">
        <v>1127836</v>
      </c>
      <c r="R22" s="993"/>
      <c r="S22" s="993"/>
      <c r="T22" s="993"/>
      <c r="U22" s="681">
        <f t="shared" si="1"/>
        <v>0</v>
      </c>
      <c r="V22" s="681">
        <f t="shared" si="2"/>
        <v>205485</v>
      </c>
    </row>
    <row r="23" spans="1:25" s="1023" customFormat="1">
      <c r="A23" s="1018"/>
      <c r="B23" s="1019"/>
      <c r="C23" s="966" t="s">
        <v>1148</v>
      </c>
      <c r="D23" s="1020" t="s">
        <v>1148</v>
      </c>
      <c r="E23" s="1020" t="s">
        <v>1148</v>
      </c>
      <c r="F23" s="1020" t="s">
        <v>1148</v>
      </c>
      <c r="G23" s="966" t="s">
        <v>1148</v>
      </c>
      <c r="H23" s="1020" t="s">
        <v>1148</v>
      </c>
      <c r="I23" s="1020" t="s">
        <v>1148</v>
      </c>
      <c r="J23" s="1020" t="s">
        <v>1148</v>
      </c>
      <c r="K23" s="1021" t="s">
        <v>1148</v>
      </c>
      <c r="L23" s="1022" t="s">
        <v>1148</v>
      </c>
      <c r="M23" s="1021" t="s">
        <v>1148</v>
      </c>
      <c r="N23" s="1023" t="s">
        <v>925</v>
      </c>
      <c r="O23" s="1007" t="s">
        <v>913</v>
      </c>
      <c r="P23" s="1007">
        <f>23655+1070819</f>
        <v>1094474</v>
      </c>
      <c r="Q23" s="1007"/>
      <c r="R23" s="1007"/>
      <c r="S23" s="1007"/>
      <c r="T23" s="1007"/>
      <c r="U23" s="1024">
        <f t="shared" si="1"/>
        <v>0</v>
      </c>
      <c r="V23" s="1024">
        <f t="shared" si="2"/>
        <v>1094474</v>
      </c>
    </row>
    <row r="24" spans="1:25">
      <c r="A24" s="1002">
        <v>1</v>
      </c>
      <c r="B24" s="1003" t="s">
        <v>864</v>
      </c>
      <c r="C24" s="1004"/>
      <c r="D24" s="1005"/>
      <c r="E24" s="771"/>
      <c r="F24" s="1006"/>
      <c r="G24" s="970"/>
      <c r="H24" s="971"/>
      <c r="I24" s="771"/>
      <c r="J24" s="771"/>
      <c r="K24" s="972"/>
      <c r="L24" s="973">
        <f>F24-K24</f>
        <v>0</v>
      </c>
      <c r="M24" s="972">
        <f>C24-G24</f>
        <v>0</v>
      </c>
      <c r="N24" s="974"/>
      <c r="O24" s="1007" t="s">
        <v>928</v>
      </c>
      <c r="P24" s="1007">
        <f>SUM(P14:P23)</f>
        <v>9477054</v>
      </c>
      <c r="Q24" s="1007">
        <f t="shared" ref="Q24:T24" si="3">SUM(Q14:Q23)</f>
        <v>7898186</v>
      </c>
      <c r="R24" s="1007">
        <f t="shared" si="3"/>
        <v>6215088</v>
      </c>
      <c r="S24" s="1007">
        <f t="shared" si="3"/>
        <v>4197322</v>
      </c>
      <c r="T24" s="1007">
        <f t="shared" si="3"/>
        <v>817186</v>
      </c>
      <c r="U24" s="613">
        <f t="shared" si="1"/>
        <v>2017766</v>
      </c>
      <c r="V24" s="613">
        <f t="shared" si="2"/>
        <v>1578868</v>
      </c>
    </row>
    <row r="25" spans="1:25">
      <c r="A25" s="967">
        <v>2</v>
      </c>
      <c r="B25" s="1008" t="s">
        <v>873</v>
      </c>
      <c r="C25" s="969"/>
      <c r="D25" s="1009"/>
      <c r="E25" s="771"/>
      <c r="F25" s="1006"/>
      <c r="G25" s="970"/>
      <c r="H25" s="971"/>
      <c r="I25" s="771"/>
      <c r="J25" s="771"/>
      <c r="K25" s="972"/>
      <c r="L25" s="973">
        <f>F25-K25</f>
        <v>0</v>
      </c>
      <c r="M25" s="972">
        <f>C25-G25</f>
        <v>0</v>
      </c>
      <c r="O25" s="974" t="s">
        <v>929</v>
      </c>
      <c r="P25" s="945">
        <f>P24+S24-Q24-R24</f>
        <v>-438898</v>
      </c>
      <c r="U25" s="1010"/>
      <c r="V25" s="1011">
        <f>U24-V24</f>
        <v>438898</v>
      </c>
    </row>
    <row r="26" spans="1:25">
      <c r="A26" s="967">
        <v>3</v>
      </c>
      <c r="B26" s="1008" t="s">
        <v>865</v>
      </c>
      <c r="C26" s="969"/>
      <c r="D26" s="771"/>
      <c r="E26" s="771"/>
      <c r="F26" s="1006"/>
      <c r="G26" s="1012"/>
      <c r="H26" s="771"/>
      <c r="I26" s="771"/>
      <c r="J26" s="771"/>
      <c r="K26" s="1013"/>
      <c r="L26" s="973">
        <f>F26-K26</f>
        <v>0</v>
      </c>
      <c r="M26" s="972">
        <f>C26-G26</f>
        <v>0</v>
      </c>
    </row>
    <row r="27" spans="1:25">
      <c r="A27" s="967">
        <v>4</v>
      </c>
      <c r="B27" s="1008" t="s">
        <v>874</v>
      </c>
      <c r="C27" s="969"/>
      <c r="D27" s="1009"/>
      <c r="E27" s="771"/>
      <c r="F27" s="1006"/>
      <c r="G27" s="970"/>
      <c r="H27" s="971"/>
      <c r="I27" s="771"/>
      <c r="J27" s="771"/>
      <c r="K27" s="972"/>
      <c r="L27" s="973">
        <f>F27-K27</f>
        <v>0</v>
      </c>
      <c r="M27" s="972">
        <f>C27-G27</f>
        <v>0</v>
      </c>
    </row>
    <row r="28" spans="1:25">
      <c r="A28" s="979"/>
      <c r="B28" s="1014"/>
      <c r="C28" s="981"/>
      <c r="D28" s="982"/>
      <c r="E28" s="982"/>
      <c r="F28" s="1015"/>
      <c r="G28" s="983"/>
      <c r="H28" s="984"/>
      <c r="I28" s="984"/>
      <c r="J28" s="984"/>
      <c r="K28" s="972"/>
      <c r="L28" s="973">
        <f>F28-K28</f>
        <v>0</v>
      </c>
      <c r="M28" s="972">
        <f>C28-G28</f>
        <v>0</v>
      </c>
      <c r="N28" s="974"/>
      <c r="Y28" s="978"/>
    </row>
    <row r="29" spans="1:25" ht="15.75" thickBot="1">
      <c r="A29" s="985"/>
      <c r="B29" s="986" t="s">
        <v>826</v>
      </c>
      <c r="C29" s="987">
        <f t="shared" ref="C29:M29" si="4">SUM(C23:C28)</f>
        <v>0</v>
      </c>
      <c r="D29" s="988">
        <f t="shared" si="4"/>
        <v>0</v>
      </c>
      <c r="E29" s="989">
        <f t="shared" si="4"/>
        <v>0</v>
      </c>
      <c r="F29" s="1201">
        <f t="shared" si="4"/>
        <v>0</v>
      </c>
      <c r="G29" s="1016">
        <f t="shared" si="4"/>
        <v>0</v>
      </c>
      <c r="H29" s="990">
        <f t="shared" si="4"/>
        <v>0</v>
      </c>
      <c r="I29" s="989">
        <f t="shared" ref="I29" si="5">SUM(I24:I28)</f>
        <v>0</v>
      </c>
      <c r="J29" s="989">
        <f>SUM(J24:J28)</f>
        <v>0</v>
      </c>
      <c r="K29" s="991">
        <f t="shared" si="4"/>
        <v>0</v>
      </c>
      <c r="L29" s="1017">
        <f>SUM(L23:L28)</f>
        <v>0</v>
      </c>
      <c r="M29" s="991">
        <f t="shared" si="4"/>
        <v>0</v>
      </c>
      <c r="P29" s="974"/>
      <c r="Q29" s="999"/>
      <c r="R29" s="999"/>
    </row>
    <row r="30" spans="1:25" hidden="1">
      <c r="B30" s="945" t="s">
        <v>1146</v>
      </c>
      <c r="F30" s="679" t="e">
        <f>#REF!</f>
        <v>#REF!</v>
      </c>
      <c r="I30" s="679"/>
      <c r="K30" s="659" t="e">
        <f>#REF!-#REF!</f>
        <v>#REF!</v>
      </c>
      <c r="L30" s="679" t="e">
        <f>#REF!-#REF!</f>
        <v>#REF!</v>
      </c>
      <c r="O30" s="999"/>
    </row>
    <row r="31" spans="1:25" hidden="1">
      <c r="B31" s="995" t="s">
        <v>1151</v>
      </c>
      <c r="F31" s="679" t="e">
        <f>F29-F30</f>
        <v>#REF!</v>
      </c>
      <c r="K31" s="659" t="e">
        <f>K29-K30</f>
        <v>#REF!</v>
      </c>
      <c r="L31" s="1202" t="e">
        <f>L29-L30</f>
        <v>#REF!</v>
      </c>
      <c r="O31" s="974"/>
    </row>
    <row r="32" spans="1:25" hidden="1">
      <c r="B32" s="945" t="s">
        <v>1149</v>
      </c>
      <c r="F32" s="1376"/>
      <c r="G32" s="682"/>
      <c r="L32" s="679">
        <f>L29+L13</f>
        <v>0</v>
      </c>
    </row>
    <row r="33" spans="2:13" hidden="1">
      <c r="B33" s="945" t="s">
        <v>1235</v>
      </c>
      <c r="F33" s="1376"/>
      <c r="G33" s="682"/>
      <c r="L33" s="679" t="e">
        <f>SUM(#REF!)-SUM(#REF!)</f>
        <v>#REF!</v>
      </c>
    </row>
    <row r="34" spans="2:13" hidden="1">
      <c r="B34" s="995" t="s">
        <v>1150</v>
      </c>
      <c r="F34" s="1376"/>
      <c r="G34" s="682"/>
      <c r="L34" s="1202" t="e">
        <f>L32-L33</f>
        <v>#REF!</v>
      </c>
    </row>
    <row r="36" spans="2:13">
      <c r="I36" s="683"/>
      <c r="J36" s="683"/>
      <c r="K36" s="683"/>
      <c r="L36" s="683"/>
      <c r="M36" s="683"/>
    </row>
  </sheetData>
  <mergeCells count="11">
    <mergeCell ref="F32:F34"/>
    <mergeCell ref="B20:M20"/>
    <mergeCell ref="A1:M1"/>
    <mergeCell ref="A2:M2"/>
    <mergeCell ref="B5:M5"/>
    <mergeCell ref="G21:K21"/>
    <mergeCell ref="G6:K6"/>
    <mergeCell ref="E6:E7"/>
    <mergeCell ref="D6:D7"/>
    <mergeCell ref="D21:D22"/>
    <mergeCell ref="E21:E22"/>
  </mergeCells>
  <pageMargins left="0.74803149606299213" right="0.74803149606299213" top="0.98425196850393704" bottom="0.98425196850393704" header="0.51181102362204722" footer="0.51181102362204722"/>
  <pageSetup scale="71"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I57"/>
  <sheetViews>
    <sheetView showGridLines="0" showZeros="0" tabSelected="1" zoomScaleSheetLayoutView="100" workbookViewId="0">
      <selection activeCell="A4" sqref="A4:F4"/>
    </sheetView>
  </sheetViews>
  <sheetFormatPr defaultColWidth="8.85546875" defaultRowHeight="15"/>
  <cols>
    <col min="1" max="1" width="8.85546875" style="1243"/>
    <col min="2" max="2" width="52.28515625" style="1243" customWidth="1"/>
    <col min="3" max="3" width="17.42578125" style="1123" customWidth="1"/>
    <col min="4" max="4" width="16" style="1123" bestFit="1" customWidth="1"/>
    <col min="5" max="5" width="14.7109375" style="1123" customWidth="1"/>
    <col min="6" max="6" width="15.140625" style="1123" bestFit="1" customWidth="1"/>
    <col min="7" max="7" width="8.85546875" style="1243"/>
    <col min="8" max="8" width="15.140625" style="1243" bestFit="1" customWidth="1"/>
    <col min="9" max="9" width="9.7109375" style="1243" bestFit="1" customWidth="1"/>
    <col min="10" max="16384" width="8.85546875" style="1243"/>
  </cols>
  <sheetData>
    <row r="1" spans="1:6" ht="15" customHeight="1" thickBot="1">
      <c r="A1" s="1339" t="s">
        <v>1246</v>
      </c>
      <c r="B1" s="1340"/>
      <c r="C1" s="1340"/>
      <c r="D1" s="1340"/>
      <c r="E1" s="1340"/>
      <c r="F1" s="1341"/>
    </row>
    <row r="2" spans="1:6" ht="15.75" thickBot="1">
      <c r="A2" s="1344" t="s">
        <v>1247</v>
      </c>
      <c r="B2" s="1345"/>
      <c r="C2" s="1345"/>
      <c r="D2" s="1345"/>
      <c r="E2" s="1345"/>
      <c r="F2" s="1346"/>
    </row>
    <row r="3" spans="1:6" ht="15.75" thickBot="1">
      <c r="A3" s="1344" t="s">
        <v>1248</v>
      </c>
      <c r="B3" s="1345"/>
      <c r="C3" s="1345"/>
      <c r="D3" s="1345"/>
      <c r="E3" s="1345"/>
      <c r="F3" s="1346"/>
    </row>
    <row r="4" spans="1:6" ht="15.75" customHeight="1" thickBot="1">
      <c r="A4" s="1347" t="s">
        <v>1237</v>
      </c>
      <c r="B4" s="1348"/>
      <c r="C4" s="1348"/>
      <c r="D4" s="1348"/>
      <c r="E4" s="1348"/>
      <c r="F4" s="1349"/>
    </row>
    <row r="5" spans="1:6">
      <c r="A5" s="1244"/>
      <c r="B5" s="1244"/>
      <c r="C5" s="1245"/>
      <c r="D5" s="1245"/>
      <c r="E5" s="1245"/>
      <c r="F5" s="1245"/>
    </row>
    <row r="6" spans="1:6" ht="15.75" thickBot="1">
      <c r="A6" s="1246"/>
      <c r="B6" s="739"/>
      <c r="C6" s="1399"/>
      <c r="D6" s="1399"/>
      <c r="E6" s="1399"/>
      <c r="F6" s="1399"/>
    </row>
    <row r="7" spans="1:6" ht="34.5" customHeight="1">
      <c r="A7" s="1321" t="s">
        <v>26</v>
      </c>
      <c r="B7" s="1323"/>
      <c r="C7" s="1400" t="s">
        <v>1238</v>
      </c>
      <c r="D7" s="1401"/>
      <c r="E7" s="1402" t="s">
        <v>1180</v>
      </c>
      <c r="F7" s="1403"/>
    </row>
    <row r="8" spans="1:6">
      <c r="A8" s="745"/>
      <c r="B8" s="747"/>
      <c r="C8" s="1037" t="s">
        <v>1148</v>
      </c>
      <c r="D8" s="1037" t="s">
        <v>1148</v>
      </c>
      <c r="E8" s="1037" t="s">
        <v>1148</v>
      </c>
      <c r="F8" s="1028" t="s">
        <v>1148</v>
      </c>
    </row>
    <row r="9" spans="1:6" ht="30" customHeight="1">
      <c r="A9" s="1247" t="s">
        <v>46</v>
      </c>
      <c r="B9" s="1248"/>
      <c r="C9" s="1249"/>
      <c r="D9" s="1249"/>
      <c r="E9" s="1249"/>
      <c r="F9" s="1185"/>
    </row>
    <row r="10" spans="1:6">
      <c r="A10" s="1250" t="s">
        <v>918</v>
      </c>
      <c r="B10" s="1248"/>
      <c r="C10" s="1052"/>
      <c r="D10" s="934"/>
      <c r="E10" s="1050"/>
      <c r="F10" s="1126"/>
    </row>
    <row r="11" spans="1:6">
      <c r="A11" s="1250"/>
      <c r="B11" s="1248" t="s">
        <v>863</v>
      </c>
      <c r="C11" s="1052"/>
      <c r="D11" s="1251"/>
      <c r="E11" s="1050"/>
      <c r="F11" s="1187"/>
    </row>
    <row r="12" spans="1:6">
      <c r="A12" s="1250" t="s">
        <v>919</v>
      </c>
      <c r="B12" s="1248"/>
      <c r="C12" s="1052"/>
      <c r="D12" s="934"/>
      <c r="E12" s="1050"/>
      <c r="F12" s="1185"/>
    </row>
    <row r="13" spans="1:6">
      <c r="A13" s="1252" t="s">
        <v>48</v>
      </c>
      <c r="B13" s="1248"/>
      <c r="C13" s="1052"/>
      <c r="D13" s="1052"/>
      <c r="E13" s="1050"/>
      <c r="F13" s="1185"/>
    </row>
    <row r="14" spans="1:6">
      <c r="A14" s="1253" t="s">
        <v>724</v>
      </c>
      <c r="B14" s="1248"/>
      <c r="C14" s="1052"/>
      <c r="D14" s="1052"/>
      <c r="E14" s="1050"/>
      <c r="F14" s="1185"/>
    </row>
    <row r="15" spans="1:6">
      <c r="A15" s="1254" t="s">
        <v>1086</v>
      </c>
      <c r="B15" s="1248"/>
      <c r="C15" s="1088"/>
      <c r="D15" s="1072"/>
      <c r="E15" s="1050"/>
      <c r="F15" s="1013"/>
    </row>
    <row r="16" spans="1:6">
      <c r="A16" s="1254" t="s">
        <v>867</v>
      </c>
      <c r="B16" s="1248"/>
      <c r="C16" s="1088"/>
      <c r="D16" s="1052"/>
      <c r="E16" s="1050"/>
      <c r="F16" s="1185"/>
    </row>
    <row r="17" spans="1:9">
      <c r="A17" s="1254" t="s">
        <v>1179</v>
      </c>
      <c r="B17" s="1248"/>
      <c r="C17" s="1088"/>
      <c r="D17" s="1052"/>
      <c r="E17" s="1050"/>
      <c r="F17" s="1185"/>
    </row>
    <row r="18" spans="1:9">
      <c r="A18" s="1253" t="s">
        <v>725</v>
      </c>
      <c r="B18" s="1248"/>
      <c r="C18" s="934"/>
      <c r="D18" s="1052"/>
      <c r="E18" s="1050"/>
      <c r="F18" s="1185"/>
    </row>
    <row r="19" spans="1:9">
      <c r="A19" s="1254" t="s">
        <v>14</v>
      </c>
      <c r="B19" s="1248"/>
      <c r="C19" s="1088"/>
      <c r="D19" s="1072"/>
      <c r="E19" s="1050"/>
      <c r="F19" s="1126"/>
    </row>
    <row r="20" spans="1:9">
      <c r="A20" s="1250"/>
      <c r="B20" s="1248"/>
      <c r="C20" s="1255"/>
      <c r="D20" s="941"/>
      <c r="E20" s="1256"/>
      <c r="F20" s="1257"/>
    </row>
    <row r="21" spans="1:9">
      <c r="A21" s="1250"/>
      <c r="B21" s="1248"/>
      <c r="C21" s="1052"/>
      <c r="D21" s="1088"/>
      <c r="E21" s="1050"/>
      <c r="F21" s="1013"/>
    </row>
    <row r="22" spans="1:9">
      <c r="A22" s="1250" t="s">
        <v>980</v>
      </c>
      <c r="B22" s="1248"/>
      <c r="C22" s="1052"/>
      <c r="D22" s="1255"/>
      <c r="E22" s="1050"/>
      <c r="F22" s="1032"/>
    </row>
    <row r="23" spans="1:9">
      <c r="A23" s="1250" t="s">
        <v>51</v>
      </c>
      <c r="B23" s="1248"/>
      <c r="C23" s="1052"/>
      <c r="D23" s="1088"/>
      <c r="E23" s="1050"/>
      <c r="F23" s="1013"/>
    </row>
    <row r="24" spans="1:9" ht="14.25" customHeight="1">
      <c r="A24" s="1404" t="s">
        <v>726</v>
      </c>
      <c r="B24" s="1405"/>
      <c r="C24" s="1052"/>
      <c r="D24" s="1255"/>
      <c r="E24" s="1050"/>
      <c r="F24" s="1257"/>
    </row>
    <row r="25" spans="1:9">
      <c r="A25" s="1250"/>
      <c r="B25" s="1248"/>
      <c r="C25" s="1052"/>
      <c r="D25" s="1052"/>
      <c r="E25" s="1050"/>
      <c r="F25" s="1185"/>
    </row>
    <row r="26" spans="1:9">
      <c r="A26" s="1247" t="s">
        <v>52</v>
      </c>
      <c r="B26" s="1248"/>
      <c r="C26" s="1258"/>
      <c r="D26" s="859"/>
      <c r="E26" s="1259"/>
      <c r="F26" s="1207"/>
    </row>
    <row r="27" spans="1:9">
      <c r="A27" s="1247"/>
      <c r="B27" s="1248"/>
      <c r="C27" s="1258"/>
      <c r="D27" s="1260"/>
      <c r="E27" s="1259"/>
      <c r="F27" s="1261"/>
    </row>
    <row r="28" spans="1:9">
      <c r="A28" s="1247" t="s">
        <v>53</v>
      </c>
      <c r="B28" s="1248"/>
      <c r="C28" s="1052"/>
      <c r="D28" s="1052"/>
      <c r="E28" s="1050"/>
      <c r="F28" s="1185"/>
    </row>
    <row r="29" spans="1:9">
      <c r="A29" s="1254" t="s">
        <v>862</v>
      </c>
      <c r="B29" s="1248"/>
      <c r="C29" s="1052"/>
      <c r="D29" s="1088"/>
      <c r="E29" s="1050"/>
      <c r="F29" s="1013"/>
    </row>
    <row r="30" spans="1:9">
      <c r="A30" s="1254" t="s">
        <v>981</v>
      </c>
      <c r="B30" s="1248"/>
      <c r="C30" s="1255"/>
      <c r="D30" s="1251"/>
      <c r="E30" s="1262"/>
      <c r="F30" s="1032"/>
    </row>
    <row r="31" spans="1:9">
      <c r="A31" s="1247" t="s">
        <v>735</v>
      </c>
      <c r="B31" s="1248"/>
      <c r="C31" s="1258"/>
      <c r="D31" s="1186"/>
      <c r="E31" s="1259"/>
      <c r="F31" s="1207"/>
      <c r="I31" s="1263"/>
    </row>
    <row r="32" spans="1:9">
      <c r="A32" s="1250"/>
      <c r="B32" s="1248"/>
      <c r="C32" s="1052"/>
      <c r="D32" s="1052"/>
      <c r="E32" s="1050"/>
      <c r="F32" s="1185"/>
    </row>
    <row r="33" spans="1:8">
      <c r="A33" s="1247" t="s">
        <v>54</v>
      </c>
      <c r="B33" s="1248"/>
      <c r="C33" s="1052"/>
      <c r="D33" s="1052"/>
      <c r="E33" s="1050"/>
      <c r="F33" s="1185"/>
    </row>
    <row r="34" spans="1:8">
      <c r="A34" s="1250" t="s">
        <v>25</v>
      </c>
      <c r="B34" s="1248"/>
      <c r="C34" s="1052"/>
      <c r="D34" s="1052"/>
      <c r="E34" s="1050"/>
      <c r="F34" s="1185"/>
    </row>
    <row r="35" spans="1:8">
      <c r="A35" s="1250" t="s">
        <v>55</v>
      </c>
      <c r="B35" s="1248"/>
      <c r="C35" s="1255"/>
      <c r="D35" s="1052"/>
      <c r="E35" s="1262"/>
      <c r="F35" s="1185"/>
    </row>
    <row r="36" spans="1:8">
      <c r="A36" s="1250"/>
      <c r="B36" s="1248"/>
      <c r="C36" s="1052"/>
      <c r="D36" s="1052"/>
      <c r="E36" s="1050"/>
      <c r="F36" s="1185"/>
    </row>
    <row r="37" spans="1:8">
      <c r="A37" s="1247" t="s">
        <v>56</v>
      </c>
      <c r="B37" s="1248"/>
      <c r="C37" s="1258"/>
      <c r="D37" s="1264"/>
      <c r="E37" s="1050"/>
      <c r="F37" s="1265"/>
    </row>
    <row r="38" spans="1:8">
      <c r="A38" s="1250"/>
      <c r="B38" s="1248"/>
      <c r="C38" s="1052"/>
      <c r="D38" s="1052"/>
      <c r="E38" s="1050"/>
      <c r="F38" s="1185"/>
    </row>
    <row r="39" spans="1:8">
      <c r="A39" s="1247" t="s">
        <v>820</v>
      </c>
      <c r="B39" s="1248"/>
      <c r="C39" s="1258"/>
      <c r="D39" s="1088"/>
      <c r="E39" s="1259"/>
      <c r="F39" s="1207"/>
    </row>
    <row r="40" spans="1:8">
      <c r="A40" s="1250" t="s">
        <v>57</v>
      </c>
      <c r="B40" s="1248"/>
      <c r="C40" s="1052"/>
      <c r="D40" s="934"/>
      <c r="E40" s="1050"/>
      <c r="F40" s="1185"/>
    </row>
    <row r="41" spans="1:8">
      <c r="A41" s="1404"/>
      <c r="B41" s="1405"/>
      <c r="C41" s="1052"/>
      <c r="D41" s="934"/>
      <c r="E41" s="1050"/>
      <c r="F41" s="1185"/>
    </row>
    <row r="42" spans="1:8" ht="15.75" thickBot="1">
      <c r="A42" s="1266" t="s">
        <v>58</v>
      </c>
      <c r="B42" s="1267"/>
      <c r="C42" s="830"/>
      <c r="D42" s="807"/>
      <c r="E42" s="1268"/>
      <c r="F42" s="1129"/>
    </row>
    <row r="43" spans="1:8">
      <c r="A43" s="1269"/>
      <c r="B43" s="1270"/>
      <c r="C43" s="1271"/>
      <c r="D43" s="1285" t="e">
        <f>D42-'Notes 2 to 11'!B57</f>
        <v>#REF!</v>
      </c>
      <c r="E43" s="1272"/>
      <c r="F43" s="1273"/>
      <c r="H43" s="1274"/>
    </row>
    <row r="44" spans="1:8" ht="15.75" thickBot="1">
      <c r="A44" s="1397" t="s">
        <v>776</v>
      </c>
      <c r="B44" s="1398"/>
      <c r="C44" s="932"/>
      <c r="D44" s="932"/>
      <c r="E44" s="932"/>
      <c r="F44" s="1185"/>
      <c r="H44" s="1275"/>
    </row>
    <row r="45" spans="1:8">
      <c r="A45" s="840" t="s">
        <v>839</v>
      </c>
      <c r="B45" s="736"/>
      <c r="C45" s="1276"/>
      <c r="D45" s="1276"/>
      <c r="E45" s="1277"/>
      <c r="F45" s="1107"/>
    </row>
    <row r="46" spans="1:8">
      <c r="A46" s="783" t="s">
        <v>1251</v>
      </c>
      <c r="B46" s="784"/>
      <c r="C46" s="1396" t="s">
        <v>20</v>
      </c>
      <c r="D46" s="1396"/>
      <c r="E46" s="1396"/>
      <c r="F46" s="1185"/>
    </row>
    <row r="47" spans="1:8">
      <c r="A47" s="765" t="s">
        <v>21</v>
      </c>
      <c r="B47" s="784"/>
      <c r="C47" s="1033" t="s">
        <v>1256</v>
      </c>
      <c r="D47" s="821"/>
      <c r="E47" s="1034" t="s">
        <v>22</v>
      </c>
      <c r="F47" s="1185"/>
    </row>
    <row r="48" spans="1:8">
      <c r="A48" s="765" t="s">
        <v>1252</v>
      </c>
      <c r="B48" s="784"/>
      <c r="C48" s="1035"/>
      <c r="D48" s="821"/>
      <c r="E48" s="1034"/>
      <c r="F48" s="1185"/>
    </row>
    <row r="49" spans="1:6">
      <c r="A49" s="765"/>
      <c r="B49" s="784"/>
      <c r="C49" s="1035"/>
      <c r="D49" s="821"/>
      <c r="E49" s="1034"/>
      <c r="F49" s="1185"/>
    </row>
    <row r="50" spans="1:6">
      <c r="A50" s="765"/>
      <c r="B50" s="784"/>
      <c r="C50" s="1035"/>
      <c r="D50" s="821"/>
      <c r="E50" s="1034"/>
      <c r="F50" s="1185"/>
    </row>
    <row r="51" spans="1:6">
      <c r="A51" s="790"/>
      <c r="B51" s="784"/>
      <c r="C51" s="1035"/>
      <c r="D51" s="821"/>
      <c r="E51" s="1278"/>
      <c r="F51" s="1185"/>
    </row>
    <row r="52" spans="1:6">
      <c r="A52" s="791">
        <f>'Balance Sheet'!A39</f>
        <v>0</v>
      </c>
      <c r="B52" s="784"/>
      <c r="C52" s="759"/>
      <c r="D52" s="1279"/>
      <c r="E52" s="1034"/>
      <c r="F52" s="1185"/>
    </row>
    <row r="53" spans="1:6" ht="12.75" customHeight="1">
      <c r="A53" s="1036" t="s">
        <v>24</v>
      </c>
      <c r="B53" s="844"/>
      <c r="C53" s="759" t="s">
        <v>832</v>
      </c>
      <c r="D53" s="821"/>
      <c r="E53" s="759" t="s">
        <v>1088</v>
      </c>
      <c r="F53" s="1185"/>
    </row>
    <row r="54" spans="1:6">
      <c r="A54" s="791" t="str">
        <f>'Balance Sheet'!A41</f>
        <v xml:space="preserve">ICAI MRN: </v>
      </c>
      <c r="B54" s="784"/>
      <c r="C54" s="785" t="s">
        <v>1257</v>
      </c>
      <c r="D54" s="821"/>
      <c r="E54" s="1183" t="s">
        <v>1257</v>
      </c>
      <c r="F54" s="1185"/>
    </row>
    <row r="55" spans="1:6">
      <c r="A55" s="791" t="str">
        <f>'Balance Sheet'!A42</f>
        <v xml:space="preserve">UDIN: </v>
      </c>
      <c r="B55" s="784"/>
      <c r="C55" s="1035"/>
      <c r="D55" s="821"/>
      <c r="E55" s="1280"/>
      <c r="F55" s="1185"/>
    </row>
    <row r="56" spans="1:6">
      <c r="A56" s="765" t="s">
        <v>1254</v>
      </c>
      <c r="B56" s="784"/>
      <c r="C56" s="1035"/>
      <c r="D56" s="821"/>
      <c r="E56" s="1281" t="s">
        <v>25</v>
      </c>
      <c r="F56" s="1185"/>
    </row>
    <row r="57" spans="1:6" ht="15.75" thickBot="1">
      <c r="A57" s="797" t="str">
        <f>'Balance Sheet'!A44</f>
        <v>Date :</v>
      </c>
      <c r="B57" s="846"/>
      <c r="C57" s="1282"/>
      <c r="D57" s="1282"/>
      <c r="E57" s="1283" t="s">
        <v>25</v>
      </c>
      <c r="F57" s="1284"/>
    </row>
  </sheetData>
  <mergeCells count="12">
    <mergeCell ref="A1:F1"/>
    <mergeCell ref="A2:F2"/>
    <mergeCell ref="A3:F3"/>
    <mergeCell ref="A4:F4"/>
    <mergeCell ref="C46:E46"/>
    <mergeCell ref="A44:B44"/>
    <mergeCell ref="C6:F6"/>
    <mergeCell ref="A7:B7"/>
    <mergeCell ref="C7:D7"/>
    <mergeCell ref="E7:F7"/>
    <mergeCell ref="A24:B24"/>
    <mergeCell ref="A41:B41"/>
  </mergeCells>
  <printOptions horizontalCentered="1"/>
  <pageMargins left="0.51181102362204722" right="0.51181102362204722" top="0.51181102362204722" bottom="0.51181102362204722" header="0.51181102362204722" footer="0.51181102362204722"/>
  <pageSetup scale="77"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M41"/>
  <sheetViews>
    <sheetView topLeftCell="A16" zoomScaleNormal="100" workbookViewId="0">
      <selection activeCell="G15" sqref="G15"/>
    </sheetView>
  </sheetViews>
  <sheetFormatPr defaultColWidth="9.140625" defaultRowHeight="15"/>
  <cols>
    <col min="1" max="3" width="9.140625" style="582"/>
    <col min="4" max="4" width="11.42578125" style="582" customWidth="1"/>
    <col min="5" max="5" width="9.140625" style="582" customWidth="1"/>
    <col min="6" max="6" width="28" style="582" customWidth="1"/>
    <col min="7" max="7" width="22.28515625" style="1198" customWidth="1"/>
    <col min="8" max="8" width="20.28515625" style="1198" customWidth="1"/>
    <col min="9" max="9" width="17.5703125" style="582" customWidth="1"/>
    <col min="10" max="10" width="15.140625" style="582" bestFit="1" customWidth="1"/>
    <col min="11" max="11" width="13.140625" style="582" bestFit="1" customWidth="1"/>
    <col min="12" max="12" width="9.7109375" style="582" customWidth="1"/>
    <col min="13" max="13" width="10.28515625" style="582" bestFit="1" customWidth="1"/>
    <col min="14" max="16384" width="9.140625" style="582"/>
  </cols>
  <sheetData>
    <row r="1" spans="1:13" ht="15.75">
      <c r="A1" s="1294" t="s">
        <v>1246</v>
      </c>
      <c r="B1" s="1295"/>
      <c r="C1" s="1295"/>
      <c r="D1" s="1295"/>
      <c r="E1" s="1295"/>
      <c r="F1" s="1295"/>
      <c r="G1" s="1295"/>
      <c r="H1" s="1296"/>
    </row>
    <row r="2" spans="1:13" ht="15.75" thickBot="1">
      <c r="A2" s="1305" t="s">
        <v>1247</v>
      </c>
      <c r="B2" s="1306"/>
      <c r="C2" s="1306"/>
      <c r="D2" s="1306"/>
      <c r="E2" s="1306"/>
      <c r="F2" s="1306"/>
      <c r="G2" s="1306"/>
      <c r="H2" s="1307"/>
    </row>
    <row r="3" spans="1:13" ht="15.75" thickBot="1">
      <c r="A3" s="1308" t="s">
        <v>1248</v>
      </c>
      <c r="B3" s="1309"/>
      <c r="C3" s="1309"/>
      <c r="D3" s="1309"/>
      <c r="E3" s="1309"/>
      <c r="F3" s="1309"/>
      <c r="G3" s="1309"/>
      <c r="H3" s="1310"/>
    </row>
    <row r="4" spans="1:13" ht="15.75" thickBot="1">
      <c r="A4" s="1297"/>
      <c r="B4" s="1298"/>
      <c r="C4" s="1298"/>
      <c r="D4" s="1298"/>
      <c r="E4" s="1298"/>
      <c r="F4" s="1298"/>
      <c r="G4" s="1298"/>
      <c r="H4" s="1299"/>
    </row>
    <row r="5" spans="1:13">
      <c r="A5" s="1300" t="s">
        <v>1239</v>
      </c>
      <c r="B5" s="1301"/>
      <c r="C5" s="1301"/>
      <c r="D5" s="1301"/>
      <c r="E5" s="1301"/>
      <c r="F5" s="1301"/>
      <c r="G5" s="1301"/>
      <c r="H5" s="1302"/>
    </row>
    <row r="6" spans="1:13">
      <c r="A6" s="1164"/>
      <c r="B6" s="1165"/>
      <c r="C6" s="1165"/>
      <c r="D6" s="1165"/>
      <c r="E6" s="1165"/>
      <c r="F6" s="1166"/>
      <c r="G6" s="1303" t="s">
        <v>1087</v>
      </c>
      <c r="H6" s="1304"/>
    </row>
    <row r="7" spans="1:13">
      <c r="A7" s="1167"/>
      <c r="F7" s="1168"/>
      <c r="G7" s="1188"/>
      <c r="H7" s="1189"/>
    </row>
    <row r="8" spans="1:13">
      <c r="A8" s="1169" t="s">
        <v>974</v>
      </c>
      <c r="F8" s="1168"/>
      <c r="G8" s="1190"/>
      <c r="H8" s="1189"/>
    </row>
    <row r="9" spans="1:13">
      <c r="A9" s="1167"/>
      <c r="B9" s="1170" t="s">
        <v>1265</v>
      </c>
      <c r="F9" s="1168"/>
      <c r="G9" s="1287"/>
      <c r="H9" s="1288"/>
    </row>
    <row r="10" spans="1:13">
      <c r="A10" s="1167"/>
      <c r="B10" s="1170" t="s">
        <v>1266</v>
      </c>
      <c r="F10" s="1168"/>
      <c r="G10" s="1289"/>
      <c r="H10" s="1288"/>
    </row>
    <row r="11" spans="1:13">
      <c r="A11" s="1167"/>
      <c r="F11" s="1168"/>
      <c r="G11" s="1287"/>
      <c r="H11" s="1288"/>
      <c r="I11" s="1171"/>
    </row>
    <row r="12" spans="1:13">
      <c r="A12" s="1167"/>
      <c r="F12" s="1168"/>
      <c r="G12" s="1287"/>
      <c r="H12" s="1288"/>
    </row>
    <row r="13" spans="1:13">
      <c r="A13" s="1169" t="s">
        <v>975</v>
      </c>
      <c r="F13" s="1168"/>
      <c r="G13" s="1287"/>
      <c r="H13" s="1288"/>
    </row>
    <row r="14" spans="1:13">
      <c r="A14" s="1167" t="s">
        <v>828</v>
      </c>
      <c r="F14" s="1168"/>
      <c r="G14" s="1287"/>
      <c r="H14" s="1288"/>
      <c r="I14" s="1171"/>
      <c r="J14" s="1171"/>
      <c r="M14" s="1171"/>
    </row>
    <row r="15" spans="1:13">
      <c r="A15" s="1167" t="s">
        <v>891</v>
      </c>
      <c r="F15" s="1168"/>
      <c r="G15" s="1287"/>
      <c r="H15" s="1288"/>
      <c r="I15" s="1171"/>
      <c r="J15" s="1171"/>
      <c r="M15" s="1171"/>
    </row>
    <row r="16" spans="1:13">
      <c r="A16" s="1167" t="s">
        <v>1244</v>
      </c>
      <c r="F16" s="1168"/>
      <c r="G16" s="1289"/>
      <c r="H16" s="1157"/>
    </row>
    <row r="17" spans="1:12" ht="15.75" thickBot="1">
      <c r="A17" s="1167"/>
      <c r="F17" s="1172" t="s">
        <v>43</v>
      </c>
      <c r="G17" s="1287"/>
      <c r="H17" s="1290">
        <f>SUM(H11:H16)</f>
        <v>0</v>
      </c>
      <c r="I17" s="1171"/>
    </row>
    <row r="18" spans="1:12" ht="15.75" thickTop="1">
      <c r="A18" s="1169" t="s">
        <v>976</v>
      </c>
      <c r="F18" s="1168"/>
      <c r="G18" s="1287"/>
      <c r="H18" s="1288"/>
    </row>
    <row r="19" spans="1:12">
      <c r="A19" s="1167" t="s">
        <v>1181</v>
      </c>
      <c r="F19" s="1168"/>
      <c r="G19" s="1287"/>
      <c r="H19" s="1288"/>
      <c r="I19" s="1173"/>
    </row>
    <row r="20" spans="1:12">
      <c r="A20" s="1167" t="s">
        <v>1192</v>
      </c>
      <c r="F20" s="1168"/>
      <c r="G20" s="1053"/>
      <c r="H20" s="1288"/>
      <c r="I20" s="1173"/>
    </row>
    <row r="21" spans="1:12">
      <c r="A21" s="1167" t="s">
        <v>973</v>
      </c>
      <c r="F21" s="1168"/>
      <c r="G21" s="1053"/>
      <c r="H21" s="1157"/>
      <c r="I21" s="1171"/>
    </row>
    <row r="22" spans="1:12">
      <c r="A22" s="1167" t="s">
        <v>1215</v>
      </c>
      <c r="F22" s="1168"/>
      <c r="G22" s="1053"/>
      <c r="H22" s="1157"/>
      <c r="I22" s="1171"/>
    </row>
    <row r="23" spans="1:12">
      <c r="A23" s="1167"/>
      <c r="F23" s="1168"/>
      <c r="G23" s="1289"/>
      <c r="H23" s="1288"/>
      <c r="I23" s="1171"/>
      <c r="J23" s="1171"/>
    </row>
    <row r="24" spans="1:12">
      <c r="A24" s="1167"/>
      <c r="F24" s="1168"/>
      <c r="G24" s="1287"/>
      <c r="H24" s="1288"/>
      <c r="L24" s="1171"/>
    </row>
    <row r="25" spans="1:12">
      <c r="A25" s="1169" t="s">
        <v>977</v>
      </c>
      <c r="F25" s="1168"/>
      <c r="G25" s="1287"/>
      <c r="H25" s="1288"/>
    </row>
    <row r="26" spans="1:12">
      <c r="A26" s="1167"/>
      <c r="B26" s="1170" t="s">
        <v>1265</v>
      </c>
      <c r="F26" s="1168"/>
      <c r="G26" s="1287"/>
      <c r="H26" s="1288"/>
    </row>
    <row r="27" spans="1:12">
      <c r="A27" s="1167"/>
      <c r="B27" s="1170" t="s">
        <v>1266</v>
      </c>
      <c r="F27" s="1168"/>
      <c r="G27" s="1289"/>
      <c r="H27" s="1288"/>
    </row>
    <row r="28" spans="1:12" ht="15.75" thickBot="1">
      <c r="A28" s="1167"/>
      <c r="F28" s="1172" t="s">
        <v>43</v>
      </c>
      <c r="G28" s="1287" t="s">
        <v>25</v>
      </c>
      <c r="H28" s="1290">
        <v>0</v>
      </c>
      <c r="I28" s="1174">
        <f>H17-H28</f>
        <v>0</v>
      </c>
      <c r="J28" s="1171"/>
      <c r="K28" s="1171"/>
    </row>
    <row r="29" spans="1:12" ht="15.75" thickTop="1">
      <c r="A29" s="1175"/>
      <c r="B29" s="1176"/>
      <c r="C29" s="1176"/>
      <c r="D29" s="1176"/>
      <c r="E29" s="1176"/>
      <c r="F29" s="1177"/>
      <c r="G29" s="1191"/>
      <c r="H29" s="1192"/>
      <c r="J29" s="1171" t="s">
        <v>25</v>
      </c>
      <c r="K29" s="582" t="s">
        <v>25</v>
      </c>
    </row>
    <row r="30" spans="1:12">
      <c r="A30" s="783" t="s">
        <v>978</v>
      </c>
      <c r="B30" s="684"/>
      <c r="C30" s="684"/>
      <c r="D30" s="684"/>
      <c r="E30" s="1163"/>
      <c r="F30" s="1178"/>
      <c r="G30" s="1193"/>
      <c r="H30" s="1194" t="s">
        <v>25</v>
      </c>
    </row>
    <row r="31" spans="1:12">
      <c r="A31" s="783" t="s">
        <v>1267</v>
      </c>
      <c r="B31" s="684"/>
      <c r="C31" s="684"/>
      <c r="D31" s="684"/>
      <c r="E31" s="1163"/>
      <c r="F31" s="1178" t="s">
        <v>25</v>
      </c>
      <c r="G31" s="1193" t="s">
        <v>25</v>
      </c>
      <c r="H31" s="1194"/>
    </row>
    <row r="32" spans="1:12">
      <c r="A32" s="783" t="s">
        <v>21</v>
      </c>
      <c r="B32" s="684"/>
      <c r="C32" s="684"/>
      <c r="D32" s="684"/>
      <c r="E32" s="1163"/>
      <c r="F32" s="1292" t="s">
        <v>983</v>
      </c>
      <c r="G32" s="1292"/>
      <c r="H32" s="1293"/>
    </row>
    <row r="33" spans="1:8">
      <c r="A33" s="783" t="s">
        <v>1268</v>
      </c>
      <c r="B33" s="684"/>
      <c r="C33" s="684"/>
      <c r="D33" s="684"/>
      <c r="E33" s="1163"/>
      <c r="F33" s="1291" t="s">
        <v>1256</v>
      </c>
      <c r="G33" s="1193"/>
      <c r="H33" s="1194"/>
    </row>
    <row r="34" spans="1:8">
      <c r="A34" s="783"/>
      <c r="B34" s="684"/>
      <c r="C34" s="684"/>
      <c r="D34" s="684"/>
      <c r="E34" s="1163"/>
      <c r="F34" s="1178"/>
      <c r="G34" s="1193"/>
      <c r="H34" s="1194"/>
    </row>
    <row r="35" spans="1:8">
      <c r="A35" s="783"/>
      <c r="B35" s="684"/>
      <c r="C35" s="684"/>
      <c r="D35" s="684"/>
      <c r="E35" s="1163"/>
      <c r="F35" s="1178"/>
      <c r="G35" s="1193"/>
      <c r="H35" s="1194"/>
    </row>
    <row r="36" spans="1:8">
      <c r="A36" s="1179">
        <f>'Balance Sheet'!A39</f>
        <v>0</v>
      </c>
      <c r="B36" s="684"/>
      <c r="C36" s="684"/>
      <c r="D36" s="684"/>
      <c r="E36" s="1163"/>
      <c r="F36" s="1178"/>
      <c r="G36" s="1193"/>
      <c r="H36" s="1194"/>
    </row>
    <row r="37" spans="1:8">
      <c r="A37" s="783" t="s">
        <v>982</v>
      </c>
      <c r="B37" s="684"/>
      <c r="C37" s="684"/>
      <c r="D37" s="684"/>
      <c r="E37" s="1163"/>
      <c r="F37" s="759"/>
      <c r="G37" s="813"/>
      <c r="H37" s="1195"/>
    </row>
    <row r="38" spans="1:8">
      <c r="A38" s="783" t="str">
        <f>'Balance Sheet'!A41</f>
        <v xml:space="preserve">ICAI MRN: </v>
      </c>
      <c r="B38" s="684"/>
      <c r="C38" s="684"/>
      <c r="D38" s="684"/>
      <c r="E38" s="1163"/>
      <c r="F38" s="759" t="s">
        <v>832</v>
      </c>
      <c r="G38" s="804" t="s">
        <v>1088</v>
      </c>
      <c r="H38" s="1194"/>
    </row>
    <row r="39" spans="1:8">
      <c r="A39" s="783" t="str">
        <f>'Balance Sheet'!A42</f>
        <v xml:space="preserve">UDIN: </v>
      </c>
      <c r="B39" s="684"/>
      <c r="C39" s="684"/>
      <c r="D39" s="684"/>
      <c r="E39" s="1163"/>
      <c r="F39" s="785" t="s">
        <v>1257</v>
      </c>
      <c r="G39" s="1183" t="s">
        <v>1257</v>
      </c>
      <c r="H39" s="1194"/>
    </row>
    <row r="40" spans="1:8">
      <c r="A40" s="1167" t="s">
        <v>1269</v>
      </c>
      <c r="B40" s="684"/>
      <c r="C40" s="684"/>
      <c r="D40" s="684"/>
      <c r="E40" s="1163"/>
      <c r="F40" s="1178"/>
      <c r="G40" s="1193"/>
      <c r="H40" s="1194"/>
    </row>
    <row r="41" spans="1:8" ht="15.75" thickBot="1">
      <c r="A41" s="797" t="str">
        <f>'Balance Sheet'!A44</f>
        <v>Date :</v>
      </c>
      <c r="B41" s="1180"/>
      <c r="C41" s="1180"/>
      <c r="D41" s="1180"/>
      <c r="E41" s="1181"/>
      <c r="F41" s="1182"/>
      <c r="G41" s="1196"/>
      <c r="H41" s="1197"/>
    </row>
  </sheetData>
  <mergeCells count="7">
    <mergeCell ref="F32:H32"/>
    <mergeCell ref="A1:H1"/>
    <mergeCell ref="A4:H4"/>
    <mergeCell ref="A5:H5"/>
    <mergeCell ref="G6:H6"/>
    <mergeCell ref="A2:H2"/>
    <mergeCell ref="A3:H3"/>
  </mergeCells>
  <printOptions horizontalCentered="1"/>
  <pageMargins left="0.59055118110236227" right="0.39370078740157483" top="0.39370078740157483" bottom="0.39370078740157483" header="0.31496062992125984" footer="0.31496062992125984"/>
  <pageSetup scale="79" orientation="portrait" r:id="rId1"/>
  <headerFooter scaleWithDoc="0"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9">
    <pageSetUpPr fitToPage="1"/>
  </sheetPr>
  <dimension ref="A1:D21"/>
  <sheetViews>
    <sheetView showGridLines="0" view="pageBreakPreview" zoomScaleNormal="80" zoomScaleSheetLayoutView="100" workbookViewId="0">
      <selection activeCell="B25" sqref="B25"/>
    </sheetView>
  </sheetViews>
  <sheetFormatPr defaultColWidth="9.140625" defaultRowHeight="12.75"/>
  <cols>
    <col min="1" max="1" width="11.7109375" style="1" customWidth="1"/>
    <col min="2" max="2" width="73.140625" style="1" customWidth="1"/>
    <col min="3" max="3" width="19.7109375" style="1" customWidth="1"/>
    <col min="4" max="4" width="17.7109375" style="1" customWidth="1"/>
    <col min="5" max="16384" width="9.140625" style="1"/>
  </cols>
  <sheetData>
    <row r="1" spans="1:4">
      <c r="A1" s="70"/>
    </row>
    <row r="2" spans="1:4">
      <c r="B2" s="90" t="s">
        <v>3</v>
      </c>
    </row>
    <row r="3" spans="1:4">
      <c r="B3" s="90" t="s">
        <v>60</v>
      </c>
    </row>
    <row r="4" spans="1:4">
      <c r="B4" s="33"/>
    </row>
    <row r="5" spans="1:4">
      <c r="A5" s="43" t="s">
        <v>95</v>
      </c>
      <c r="B5" s="91" t="s">
        <v>96</v>
      </c>
      <c r="C5" s="43"/>
    </row>
    <row r="6" spans="1:4" ht="15" customHeight="1" thickBot="1"/>
    <row r="7" spans="1:4" ht="38.25">
      <c r="A7" s="1406" t="s">
        <v>2</v>
      </c>
      <c r="B7" s="1408" t="s">
        <v>26</v>
      </c>
      <c r="C7" s="101" t="s">
        <v>86</v>
      </c>
      <c r="D7" s="102" t="s">
        <v>87</v>
      </c>
    </row>
    <row r="8" spans="1:4">
      <c r="A8" s="1407"/>
      <c r="B8" s="1409"/>
      <c r="C8" s="10" t="s">
        <v>7</v>
      </c>
      <c r="D8" s="11" t="s">
        <v>7</v>
      </c>
    </row>
    <row r="9" spans="1:4" ht="42" customHeight="1">
      <c r="A9" s="46" t="s">
        <v>777</v>
      </c>
      <c r="B9" s="82" t="s">
        <v>97</v>
      </c>
      <c r="C9" s="89"/>
      <c r="D9" s="54"/>
    </row>
    <row r="10" spans="1:4">
      <c r="A10" s="46"/>
      <c r="B10" s="85" t="s">
        <v>98</v>
      </c>
      <c r="C10" s="74"/>
      <c r="D10" s="2"/>
    </row>
    <row r="11" spans="1:4">
      <c r="A11" s="46"/>
      <c r="B11" s="85" t="s">
        <v>99</v>
      </c>
      <c r="C11" s="74"/>
      <c r="D11" s="2"/>
    </row>
    <row r="12" spans="1:4">
      <c r="A12" s="46"/>
      <c r="B12" s="85" t="s">
        <v>100</v>
      </c>
      <c r="C12" s="74"/>
      <c r="D12" s="2"/>
    </row>
    <row r="13" spans="1:4">
      <c r="A13" s="46" t="s">
        <v>101</v>
      </c>
      <c r="B13" s="366" t="s">
        <v>102</v>
      </c>
      <c r="C13" s="74"/>
      <c r="D13" s="2"/>
    </row>
    <row r="14" spans="1:4">
      <c r="A14" s="46"/>
      <c r="B14" s="366" t="s">
        <v>103</v>
      </c>
      <c r="C14" s="74"/>
      <c r="D14" s="2"/>
    </row>
    <row r="15" spans="1:4">
      <c r="A15" s="46"/>
      <c r="B15" s="84"/>
      <c r="C15" s="74"/>
      <c r="D15" s="2"/>
    </row>
    <row r="16" spans="1:4" ht="25.5">
      <c r="A16" s="46" t="s">
        <v>104</v>
      </c>
      <c r="B16" s="84" t="s">
        <v>105</v>
      </c>
      <c r="C16" s="74"/>
      <c r="D16" s="2"/>
    </row>
    <row r="17" spans="1:4">
      <c r="A17" s="46"/>
      <c r="B17" s="84"/>
      <c r="C17" s="74"/>
      <c r="D17" s="2"/>
    </row>
    <row r="18" spans="1:4" ht="38.25">
      <c r="A18" s="46" t="s">
        <v>106</v>
      </c>
      <c r="B18" s="104" t="s">
        <v>752</v>
      </c>
      <c r="C18" s="74"/>
      <c r="D18" s="2"/>
    </row>
    <row r="19" spans="1:4">
      <c r="A19" s="46"/>
      <c r="B19" s="104"/>
      <c r="C19" s="59"/>
      <c r="D19" s="103"/>
    </row>
    <row r="20" spans="1:4" ht="13.5" thickBot="1">
      <c r="A20" s="55"/>
      <c r="B20" s="86" t="s">
        <v>43</v>
      </c>
      <c r="C20" s="422"/>
      <c r="D20" s="423"/>
    </row>
    <row r="21" spans="1:4" ht="31.9" customHeight="1" thickBot="1">
      <c r="A21" s="421" t="s">
        <v>634</v>
      </c>
      <c r="B21" s="1410" t="s">
        <v>753</v>
      </c>
      <c r="C21" s="1411"/>
      <c r="D21" s="1412"/>
    </row>
  </sheetData>
  <mergeCells count="3">
    <mergeCell ref="A7:A8"/>
    <mergeCell ref="B7:B8"/>
    <mergeCell ref="B21:D21"/>
  </mergeCells>
  <pageMargins left="0.5" right="0.5" top="0.5" bottom="0.5" header="0.5" footer="0.5"/>
  <pageSetup paperSize="9" scale="75" fitToHeight="0"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0">
    <pageSetUpPr fitToPage="1"/>
  </sheetPr>
  <dimension ref="A1:D40"/>
  <sheetViews>
    <sheetView showGridLines="0" view="pageBreakPreview" topLeftCell="A5" zoomScaleSheetLayoutView="100" workbookViewId="0">
      <selection activeCell="B23" sqref="B23:D23"/>
    </sheetView>
  </sheetViews>
  <sheetFormatPr defaultColWidth="9.140625" defaultRowHeight="12.75"/>
  <cols>
    <col min="1" max="1" width="12.42578125" style="1" customWidth="1"/>
    <col min="2" max="2" width="66.7109375" style="1" customWidth="1"/>
    <col min="3" max="3" width="18.7109375" style="1" customWidth="1"/>
    <col min="4" max="4" width="18.28515625" style="1" customWidth="1"/>
    <col min="5" max="16384" width="9.140625" style="1"/>
  </cols>
  <sheetData>
    <row r="1" spans="1:4">
      <c r="A1" s="70"/>
    </row>
    <row r="2" spans="1:4">
      <c r="B2" s="90" t="s">
        <v>3</v>
      </c>
    </row>
    <row r="3" spans="1:4">
      <c r="B3" s="90" t="s">
        <v>60</v>
      </c>
    </row>
    <row r="4" spans="1:4">
      <c r="B4" s="33"/>
    </row>
    <row r="5" spans="1:4">
      <c r="A5" s="43" t="s">
        <v>107</v>
      </c>
      <c r="B5" s="91" t="s">
        <v>108</v>
      </c>
      <c r="C5" s="43"/>
    </row>
    <row r="6" spans="1:4" ht="13.5" thickBot="1"/>
    <row r="7" spans="1:4" ht="29.25" customHeight="1">
      <c r="A7" s="1406" t="s">
        <v>2</v>
      </c>
      <c r="B7" s="1408" t="s">
        <v>26</v>
      </c>
      <c r="C7" s="101" t="s">
        <v>86</v>
      </c>
      <c r="D7" s="102" t="s">
        <v>87</v>
      </c>
    </row>
    <row r="8" spans="1:4">
      <c r="A8" s="1407"/>
      <c r="B8" s="1409"/>
      <c r="C8" s="10" t="s">
        <v>7</v>
      </c>
      <c r="D8" s="11" t="s">
        <v>7</v>
      </c>
    </row>
    <row r="9" spans="1:4">
      <c r="A9" s="49"/>
      <c r="B9" s="99" t="s">
        <v>109</v>
      </c>
      <c r="C9" s="540" t="e">
        <f>+#REF!</f>
        <v>#REF!</v>
      </c>
      <c r="D9" s="541">
        <v>0</v>
      </c>
    </row>
    <row r="10" spans="1:4">
      <c r="A10" s="49"/>
      <c r="B10" s="99" t="s">
        <v>110</v>
      </c>
      <c r="C10" s="540" t="e">
        <f>+#REF!</f>
        <v>#REF!</v>
      </c>
      <c r="D10" s="541">
        <v>0</v>
      </c>
    </row>
    <row r="11" spans="1:4">
      <c r="A11" s="49"/>
      <c r="B11" s="99" t="s">
        <v>111</v>
      </c>
      <c r="C11" s="540" t="e">
        <f>+#REF!</f>
        <v>#REF!</v>
      </c>
      <c r="D11" s="541">
        <v>0</v>
      </c>
    </row>
    <row r="12" spans="1:4">
      <c r="A12" s="60"/>
      <c r="B12" s="99" t="s">
        <v>829</v>
      </c>
      <c r="C12" s="540" t="e">
        <f>+#REF!</f>
        <v>#REF!</v>
      </c>
      <c r="D12" s="541">
        <v>0</v>
      </c>
    </row>
    <row r="13" spans="1:4">
      <c r="A13" s="80"/>
      <c r="B13" s="99" t="s">
        <v>830</v>
      </c>
      <c r="C13" s="540">
        <v>5000</v>
      </c>
      <c r="D13" s="541">
        <v>0</v>
      </c>
    </row>
    <row r="14" spans="1:4">
      <c r="A14" s="49"/>
      <c r="B14" s="99" t="s">
        <v>831</v>
      </c>
      <c r="C14" s="540" t="e">
        <f>+#REF!</f>
        <v>#REF!</v>
      </c>
      <c r="D14" s="541">
        <v>0</v>
      </c>
    </row>
    <row r="15" spans="1:4" ht="13.5" thickBot="1">
      <c r="A15" s="55"/>
      <c r="B15" s="86" t="s">
        <v>43</v>
      </c>
      <c r="C15" s="542" t="e">
        <f>SUM(C9:C14)</f>
        <v>#REF!</v>
      </c>
      <c r="D15" s="542">
        <f>SUM(D9:D14)</f>
        <v>0</v>
      </c>
    </row>
    <row r="16" spans="1:4">
      <c r="A16" s="43" t="s">
        <v>107</v>
      </c>
      <c r="B16" s="91" t="s">
        <v>581</v>
      </c>
      <c r="C16" s="43"/>
    </row>
    <row r="17" spans="1:4" ht="13.5" thickBot="1"/>
    <row r="18" spans="1:4">
      <c r="A18" s="480" t="s">
        <v>2</v>
      </c>
      <c r="B18" s="1427" t="s">
        <v>26</v>
      </c>
      <c r="C18" s="1428"/>
      <c r="D18" s="1429"/>
    </row>
    <row r="19" spans="1:4" ht="30" customHeight="1">
      <c r="A19" s="424" t="s">
        <v>634</v>
      </c>
      <c r="B19" s="1419" t="s">
        <v>592</v>
      </c>
      <c r="C19" s="1420"/>
      <c r="D19" s="1421"/>
    </row>
    <row r="20" spans="1:4" ht="30" customHeight="1">
      <c r="A20" s="424" t="s">
        <v>634</v>
      </c>
      <c r="B20" s="1419" t="s">
        <v>113</v>
      </c>
      <c r="C20" s="1420"/>
      <c r="D20" s="1421"/>
    </row>
    <row r="21" spans="1:4" ht="28.9" customHeight="1">
      <c r="A21" s="424" t="s">
        <v>634</v>
      </c>
      <c r="B21" s="1419" t="s">
        <v>593</v>
      </c>
      <c r="C21" s="1422"/>
      <c r="D21" s="1423"/>
    </row>
    <row r="22" spans="1:4" ht="32.450000000000003" customHeight="1">
      <c r="A22" s="424" t="s">
        <v>634</v>
      </c>
      <c r="B22" s="1419" t="s">
        <v>618</v>
      </c>
      <c r="C22" s="1422"/>
      <c r="D22" s="1423"/>
    </row>
    <row r="23" spans="1:4" ht="19.5">
      <c r="A23" s="425" t="s">
        <v>634</v>
      </c>
      <c r="B23" s="1424" t="s">
        <v>778</v>
      </c>
      <c r="C23" s="1425"/>
      <c r="D23" s="1426"/>
    </row>
    <row r="24" spans="1:4" ht="13.5" thickBot="1">
      <c r="A24" s="49"/>
      <c r="B24" s="367" t="s">
        <v>59</v>
      </c>
      <c r="C24" s="365"/>
      <c r="D24" s="52"/>
    </row>
    <row r="25" spans="1:4" ht="38.25">
      <c r="A25" s="1413"/>
      <c r="B25" s="1414" t="s">
        <v>26</v>
      </c>
      <c r="C25" s="395" t="s">
        <v>86</v>
      </c>
      <c r="D25" s="396" t="s">
        <v>87</v>
      </c>
    </row>
    <row r="26" spans="1:4">
      <c r="A26" s="1413"/>
      <c r="B26" s="1415"/>
      <c r="C26" s="10" t="s">
        <v>7</v>
      </c>
      <c r="D26" s="11" t="s">
        <v>7</v>
      </c>
    </row>
    <row r="27" spans="1:4" ht="30.6" customHeight="1">
      <c r="A27" s="46" t="s">
        <v>112</v>
      </c>
      <c r="B27" s="75" t="s">
        <v>816</v>
      </c>
      <c r="C27" s="48"/>
      <c r="D27" s="88"/>
    </row>
    <row r="28" spans="1:4">
      <c r="A28" s="49"/>
      <c r="B28" s="74" t="s">
        <v>638</v>
      </c>
      <c r="C28" s="48"/>
      <c r="D28" s="88"/>
    </row>
    <row r="29" spans="1:4" ht="13.9" customHeight="1">
      <c r="A29" s="49"/>
      <c r="B29" s="74" t="s">
        <v>652</v>
      </c>
      <c r="C29" s="48"/>
      <c r="D29" s="88"/>
    </row>
    <row r="30" spans="1:4">
      <c r="A30" s="49"/>
      <c r="B30" s="74" t="s">
        <v>653</v>
      </c>
      <c r="C30" s="48"/>
      <c r="D30" s="88"/>
    </row>
    <row r="31" spans="1:4">
      <c r="A31" s="49"/>
      <c r="B31" s="74" t="s">
        <v>654</v>
      </c>
      <c r="C31" s="48"/>
      <c r="D31" s="88"/>
    </row>
    <row r="32" spans="1:4">
      <c r="A32" s="49"/>
      <c r="B32" s="74" t="s">
        <v>655</v>
      </c>
      <c r="C32" s="48"/>
      <c r="D32" s="88"/>
    </row>
    <row r="33" spans="1:4">
      <c r="A33" s="49"/>
      <c r="B33" s="74" t="s">
        <v>114</v>
      </c>
      <c r="C33" s="48"/>
      <c r="D33" s="88"/>
    </row>
    <row r="34" spans="1:4">
      <c r="A34" s="49"/>
      <c r="B34" s="81" t="s">
        <v>43</v>
      </c>
      <c r="C34" s="61"/>
      <c r="D34" s="163"/>
    </row>
    <row r="35" spans="1:4" ht="70.150000000000006" customHeight="1">
      <c r="A35" s="424" t="s">
        <v>634</v>
      </c>
      <c r="B35" s="1419" t="s">
        <v>656</v>
      </c>
      <c r="C35" s="1422"/>
      <c r="D35" s="1423"/>
    </row>
    <row r="36" spans="1:4">
      <c r="A36" s="368" t="s">
        <v>91</v>
      </c>
      <c r="B36" s="16" t="s">
        <v>115</v>
      </c>
      <c r="C36" s="18"/>
      <c r="D36" s="19"/>
    </row>
    <row r="37" spans="1:4">
      <c r="A37" s="12" t="s">
        <v>92</v>
      </c>
      <c r="B37" s="92" t="s">
        <v>94</v>
      </c>
      <c r="C37" s="18"/>
      <c r="D37" s="19"/>
    </row>
    <row r="38" spans="1:4">
      <c r="A38" s="49"/>
      <c r="B38" s="92" t="s">
        <v>93</v>
      </c>
      <c r="C38" s="18"/>
      <c r="D38" s="19"/>
    </row>
    <row r="39" spans="1:4">
      <c r="A39" s="49"/>
      <c r="B39" s="369" t="s">
        <v>43</v>
      </c>
      <c r="C39" s="93"/>
      <c r="D39" s="108"/>
    </row>
    <row r="40" spans="1:4" ht="35.450000000000003" customHeight="1" thickBot="1">
      <c r="A40" s="526" t="s">
        <v>116</v>
      </c>
      <c r="B40" s="1416" t="s">
        <v>635</v>
      </c>
      <c r="C40" s="1417"/>
      <c r="D40" s="1418"/>
    </row>
  </sheetData>
  <mergeCells count="12">
    <mergeCell ref="A25:A26"/>
    <mergeCell ref="B25:B26"/>
    <mergeCell ref="B40:D40"/>
    <mergeCell ref="A7:A8"/>
    <mergeCell ref="B7:B8"/>
    <mergeCell ref="B19:D19"/>
    <mergeCell ref="B20:D20"/>
    <mergeCell ref="B22:D22"/>
    <mergeCell ref="B21:D21"/>
    <mergeCell ref="B23:D23"/>
    <mergeCell ref="B35:D35"/>
    <mergeCell ref="B18:D18"/>
  </mergeCells>
  <pageMargins left="0.5" right="0.5" top="0.5" bottom="0.5" header="0.5" footer="0.5"/>
  <pageSetup scale="82" fitToHeight="0" orientation="portrait" r:id="rId1"/>
  <headerFooter alignWithMargins="0"/>
  <rowBreaks count="1" manualBreakCount="1">
    <brk id="15"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1">
    <pageSetUpPr fitToPage="1"/>
  </sheetPr>
  <dimension ref="A1:D25"/>
  <sheetViews>
    <sheetView showGridLines="0" view="pageBreakPreview" zoomScaleSheetLayoutView="100" workbookViewId="0"/>
  </sheetViews>
  <sheetFormatPr defaultColWidth="9.140625" defaultRowHeight="12.75"/>
  <cols>
    <col min="1" max="1" width="9.42578125" style="33" customWidth="1"/>
    <col min="2" max="2" width="40.140625" style="33" customWidth="1"/>
    <col min="3" max="4" width="21.140625" style="33" bestFit="1" customWidth="1"/>
    <col min="5" max="16384" width="9.140625" style="33"/>
  </cols>
  <sheetData>
    <row r="1" spans="1:4">
      <c r="A1" s="94"/>
      <c r="B1" s="94"/>
    </row>
    <row r="2" spans="1:4">
      <c r="A2" s="41"/>
      <c r="B2" s="90" t="s">
        <v>3</v>
      </c>
      <c r="C2" s="109"/>
    </row>
    <row r="3" spans="1:4">
      <c r="B3" s="90" t="s">
        <v>60</v>
      </c>
      <c r="C3" s="110"/>
    </row>
    <row r="4" spans="1:4">
      <c r="C4" s="110"/>
    </row>
    <row r="5" spans="1:4">
      <c r="A5" s="41" t="s">
        <v>117</v>
      </c>
      <c r="B5" s="91" t="s">
        <v>118</v>
      </c>
      <c r="C5" s="110"/>
    </row>
    <row r="6" spans="1:4" ht="13.5" thickBot="1">
      <c r="B6" s="111"/>
      <c r="C6" s="110"/>
    </row>
    <row r="7" spans="1:4" ht="25.5">
      <c r="A7" s="1406" t="s">
        <v>2</v>
      </c>
      <c r="B7" s="1408" t="s">
        <v>26</v>
      </c>
      <c r="C7" s="101" t="s">
        <v>200</v>
      </c>
      <c r="D7" s="102" t="s">
        <v>28</v>
      </c>
    </row>
    <row r="8" spans="1:4" ht="13.9" customHeight="1">
      <c r="A8" s="1407"/>
      <c r="B8" s="1409"/>
      <c r="C8" s="10" t="s">
        <v>7</v>
      </c>
      <c r="D8" s="11" t="s">
        <v>7</v>
      </c>
    </row>
    <row r="9" spans="1:4">
      <c r="A9" s="18" t="s">
        <v>119</v>
      </c>
      <c r="B9" s="112"/>
      <c r="C9" s="113"/>
      <c r="D9" s="100"/>
    </row>
    <row r="10" spans="1:4" ht="38.25">
      <c r="A10" s="34" t="s">
        <v>120</v>
      </c>
      <c r="B10" s="112" t="s">
        <v>121</v>
      </c>
      <c r="C10" s="113"/>
      <c r="D10" s="100"/>
    </row>
    <row r="11" spans="1:4">
      <c r="A11" s="37"/>
      <c r="B11" s="112"/>
      <c r="C11" s="113"/>
      <c r="D11" s="100"/>
    </row>
    <row r="12" spans="1:4">
      <c r="A12" s="37"/>
      <c r="B12" s="112"/>
      <c r="C12" s="113"/>
      <c r="D12" s="100"/>
    </row>
    <row r="13" spans="1:4" ht="13.5" thickBot="1">
      <c r="A13" s="39"/>
      <c r="B13" s="114" t="s">
        <v>122</v>
      </c>
      <c r="C13" s="115"/>
      <c r="D13" s="116"/>
    </row>
    <row r="14" spans="1:4" ht="34.9" customHeight="1" thickBot="1">
      <c r="A14" s="421" t="s">
        <v>634</v>
      </c>
      <c r="B14" s="1430" t="s">
        <v>619</v>
      </c>
      <c r="C14" s="1431"/>
      <c r="D14" s="1432"/>
    </row>
    <row r="15" spans="1:4">
      <c r="A15" s="187"/>
      <c r="B15" s="187"/>
      <c r="C15" s="187"/>
      <c r="D15" s="187"/>
    </row>
    <row r="16" spans="1:4">
      <c r="A16" s="41" t="s">
        <v>123</v>
      </c>
      <c r="B16" s="91" t="s">
        <v>124</v>
      </c>
    </row>
    <row r="17" spans="1:4" ht="13.5" thickBot="1">
      <c r="A17" s="185"/>
      <c r="B17" s="488"/>
      <c r="C17" s="487"/>
      <c r="D17" s="185"/>
    </row>
    <row r="18" spans="1:4" ht="25.5">
      <c r="A18" s="1406" t="s">
        <v>2</v>
      </c>
      <c r="B18" s="1433" t="s">
        <v>26</v>
      </c>
      <c r="C18" s="101" t="s">
        <v>200</v>
      </c>
      <c r="D18" s="102" t="s">
        <v>28</v>
      </c>
    </row>
    <row r="19" spans="1:4">
      <c r="A19" s="1407"/>
      <c r="B19" s="1415"/>
      <c r="C19" s="10" t="s">
        <v>7</v>
      </c>
      <c r="D19" s="11" t="s">
        <v>7</v>
      </c>
    </row>
    <row r="20" spans="1:4">
      <c r="A20" s="12" t="s">
        <v>119</v>
      </c>
      <c r="B20" s="370"/>
      <c r="C20" s="113"/>
      <c r="D20" s="100"/>
    </row>
    <row r="21" spans="1:4" ht="30" customHeight="1">
      <c r="A21" s="34" t="s">
        <v>125</v>
      </c>
      <c r="B21" s="370" t="s">
        <v>121</v>
      </c>
      <c r="C21" s="113"/>
      <c r="D21" s="100"/>
    </row>
    <row r="22" spans="1:4">
      <c r="A22" s="37" t="s">
        <v>126</v>
      </c>
      <c r="B22" s="370" t="s">
        <v>127</v>
      </c>
      <c r="C22" s="113"/>
      <c r="D22" s="100"/>
    </row>
    <row r="23" spans="1:4">
      <c r="A23" s="37"/>
      <c r="B23" s="370"/>
      <c r="C23" s="113"/>
      <c r="D23" s="100"/>
    </row>
    <row r="24" spans="1:4" ht="13.5" thickBot="1">
      <c r="A24" s="39"/>
      <c r="B24" s="371" t="s">
        <v>122</v>
      </c>
      <c r="C24" s="115"/>
      <c r="D24" s="116"/>
    </row>
    <row r="25" spans="1:4" ht="42" customHeight="1" thickBot="1">
      <c r="A25" s="421" t="s">
        <v>634</v>
      </c>
      <c r="B25" s="1430" t="s">
        <v>664</v>
      </c>
      <c r="C25" s="1431"/>
      <c r="D25" s="1432"/>
    </row>
  </sheetData>
  <mergeCells count="6">
    <mergeCell ref="B25:D25"/>
    <mergeCell ref="A7:A8"/>
    <mergeCell ref="B7:B8"/>
    <mergeCell ref="B14:D14"/>
    <mergeCell ref="A18:A19"/>
    <mergeCell ref="B18:B19"/>
  </mergeCells>
  <pageMargins left="0.5" right="0.5" top="0.5" bottom="0.5" header="0.5" footer="0.5"/>
  <pageSetup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42">
    <pageSetUpPr fitToPage="1"/>
  </sheetPr>
  <dimension ref="A2:H189"/>
  <sheetViews>
    <sheetView showGridLines="0" view="pageBreakPreview" topLeftCell="A176" zoomScaleNormal="90" zoomScaleSheetLayoutView="100" workbookViewId="0">
      <selection activeCell="C153" sqref="C153"/>
    </sheetView>
  </sheetViews>
  <sheetFormatPr defaultColWidth="9.140625" defaultRowHeight="12.75"/>
  <cols>
    <col min="1" max="1" width="11.7109375" style="1" customWidth="1"/>
    <col min="2" max="2" width="7.5703125" style="1" customWidth="1"/>
    <col min="3" max="3" width="43" style="1" bestFit="1" customWidth="1"/>
    <col min="4" max="4" width="19.7109375" style="1" customWidth="1"/>
    <col min="5" max="5" width="20.28515625" style="1" customWidth="1"/>
    <col min="6" max="6" width="22.7109375" style="1" customWidth="1"/>
    <col min="7" max="7" width="17" style="1" customWidth="1"/>
    <col min="8" max="8" width="21.140625" style="1" customWidth="1"/>
    <col min="9" max="9" width="19" style="1" customWidth="1"/>
    <col min="10" max="10" width="13.140625" style="1" customWidth="1"/>
    <col min="11" max="11" width="10" style="1" customWidth="1"/>
    <col min="12" max="15" width="9.140625" style="1"/>
    <col min="16" max="16" width="16.7109375" style="1" customWidth="1"/>
    <col min="17" max="16384" width="9.140625" style="1"/>
  </cols>
  <sheetData>
    <row r="2" spans="1:7" s="43" customFormat="1">
      <c r="A2" s="70"/>
      <c r="B2" s="43" t="s">
        <v>3</v>
      </c>
    </row>
    <row r="3" spans="1:7" s="43" customFormat="1">
      <c r="A3" s="70"/>
      <c r="B3" s="44" t="s">
        <v>60</v>
      </c>
      <c r="D3" s="45"/>
      <c r="E3" s="45"/>
      <c r="F3" s="45"/>
    </row>
    <row r="4" spans="1:7">
      <c r="B4" s="72"/>
      <c r="D4" s="72"/>
      <c r="E4" s="72"/>
      <c r="F4" s="72"/>
    </row>
    <row r="5" spans="1:7" ht="13.15" customHeight="1">
      <c r="A5" s="43" t="s">
        <v>128</v>
      </c>
      <c r="B5" s="79" t="s">
        <v>129</v>
      </c>
      <c r="C5" s="79"/>
      <c r="D5" s="491"/>
      <c r="E5" s="491"/>
      <c r="F5" s="491"/>
    </row>
    <row r="6" spans="1:7" ht="13.5" thickBot="1">
      <c r="B6" s="68"/>
    </row>
    <row r="7" spans="1:7" s="43" customFormat="1" ht="14.45" customHeight="1">
      <c r="A7" s="1482" t="s">
        <v>2</v>
      </c>
      <c r="B7" s="451" t="s">
        <v>88</v>
      </c>
      <c r="C7" s="1484" t="s">
        <v>26</v>
      </c>
      <c r="D7" s="1485"/>
      <c r="E7" s="1485"/>
      <c r="F7" s="1486"/>
      <c r="G7" s="71"/>
    </row>
    <row r="8" spans="1:7" s="43" customFormat="1">
      <c r="A8" s="1483"/>
      <c r="B8" s="117"/>
      <c r="C8" s="1487"/>
      <c r="D8" s="1488"/>
      <c r="E8" s="1488"/>
      <c r="F8" s="1489"/>
      <c r="G8" s="71"/>
    </row>
    <row r="9" spans="1:7">
      <c r="A9" s="118"/>
      <c r="B9" s="119">
        <v>29.1</v>
      </c>
      <c r="C9" s="120" t="s">
        <v>130</v>
      </c>
      <c r="D9" s="121"/>
      <c r="E9" s="122"/>
      <c r="F9" s="64"/>
    </row>
    <row r="10" spans="1:7" ht="108.6" customHeight="1">
      <c r="A10" s="118" t="s">
        <v>131</v>
      </c>
      <c r="B10" s="123"/>
      <c r="C10" s="1490" t="s">
        <v>665</v>
      </c>
      <c r="D10" s="1491"/>
      <c r="E10" s="1491"/>
      <c r="F10" s="1492"/>
    </row>
    <row r="11" spans="1:7">
      <c r="A11" s="118"/>
      <c r="B11" s="125"/>
      <c r="C11" s="121"/>
      <c r="D11" s="121"/>
      <c r="E11" s="122"/>
      <c r="F11" s="64"/>
    </row>
    <row r="12" spans="1:7">
      <c r="A12" s="118"/>
      <c r="B12" s="125">
        <v>29.2</v>
      </c>
      <c r="C12" s="120" t="s">
        <v>12</v>
      </c>
      <c r="D12" s="121"/>
      <c r="E12" s="122"/>
      <c r="F12" s="64"/>
    </row>
    <row r="13" spans="1:7" ht="84.6" customHeight="1">
      <c r="A13" s="118" t="s">
        <v>754</v>
      </c>
      <c r="B13" s="125"/>
      <c r="C13" s="1490" t="s">
        <v>817</v>
      </c>
      <c r="D13" s="1491"/>
      <c r="E13" s="1491"/>
      <c r="F13" s="1492"/>
    </row>
    <row r="14" spans="1:7" ht="64.150000000000006" customHeight="1">
      <c r="A14" s="521" t="s">
        <v>810</v>
      </c>
      <c r="B14" s="507"/>
      <c r="C14" s="1434" t="s">
        <v>779</v>
      </c>
      <c r="D14" s="1435"/>
      <c r="E14" s="1435"/>
      <c r="F14" s="1436"/>
    </row>
    <row r="15" spans="1:7">
      <c r="A15" s="118"/>
      <c r="B15" s="125"/>
      <c r="C15" s="126"/>
      <c r="D15" s="126"/>
      <c r="E15" s="126"/>
      <c r="F15" s="127"/>
    </row>
    <row r="16" spans="1:7">
      <c r="A16" s="118"/>
      <c r="B16" s="125"/>
      <c r="C16" s="128"/>
      <c r="D16" s="129"/>
      <c r="E16" s="56" t="s">
        <v>5</v>
      </c>
      <c r="F16" s="130" t="s">
        <v>6</v>
      </c>
    </row>
    <row r="17" spans="1:7">
      <c r="A17" s="118"/>
      <c r="B17" s="125"/>
      <c r="C17" s="126"/>
      <c r="D17" s="126"/>
      <c r="E17" s="10" t="s">
        <v>7</v>
      </c>
      <c r="F17" s="11" t="s">
        <v>7</v>
      </c>
    </row>
    <row r="18" spans="1:7" s="43" customFormat="1">
      <c r="A18" s="49"/>
      <c r="B18" s="125">
        <v>29.3</v>
      </c>
      <c r="C18" s="120" t="s">
        <v>132</v>
      </c>
      <c r="D18" s="76"/>
      <c r="E18" s="47"/>
      <c r="F18" s="66"/>
      <c r="G18" s="71"/>
    </row>
    <row r="19" spans="1:7" s="43" customFormat="1">
      <c r="A19" s="49" t="s">
        <v>133</v>
      </c>
      <c r="B19" s="125" t="s">
        <v>89</v>
      </c>
      <c r="C19" s="1476" t="s">
        <v>134</v>
      </c>
      <c r="D19" s="1477"/>
      <c r="E19" s="47"/>
      <c r="F19" s="66"/>
      <c r="G19" s="71"/>
    </row>
    <row r="20" spans="1:7" s="43" customFormat="1" ht="31.9" customHeight="1">
      <c r="A20" s="46" t="s">
        <v>135</v>
      </c>
      <c r="B20" s="125"/>
      <c r="C20" s="1478" t="s">
        <v>594</v>
      </c>
      <c r="D20" s="1479"/>
      <c r="E20" s="47"/>
      <c r="F20" s="66"/>
      <c r="G20" s="71"/>
    </row>
    <row r="21" spans="1:7" s="43" customFormat="1">
      <c r="A21" s="49" t="s">
        <v>136</v>
      </c>
      <c r="B21" s="125"/>
      <c r="C21" s="1478" t="s">
        <v>137</v>
      </c>
      <c r="D21" s="1479"/>
      <c r="E21" s="47"/>
      <c r="F21" s="66"/>
      <c r="G21" s="71"/>
    </row>
    <row r="22" spans="1:7" s="43" customFormat="1" ht="30" customHeight="1">
      <c r="A22" s="49"/>
      <c r="B22" s="125"/>
      <c r="C22" s="1478" t="s">
        <v>595</v>
      </c>
      <c r="D22" s="1479"/>
      <c r="E22" s="47"/>
      <c r="F22" s="66"/>
      <c r="G22" s="71"/>
    </row>
    <row r="23" spans="1:7" s="43" customFormat="1" ht="49.15" customHeight="1">
      <c r="A23" s="508" t="s">
        <v>138</v>
      </c>
      <c r="B23" s="509"/>
      <c r="C23" s="1434" t="s">
        <v>636</v>
      </c>
      <c r="D23" s="1435"/>
      <c r="E23" s="1435"/>
      <c r="F23" s="1436"/>
      <c r="G23" s="71"/>
    </row>
    <row r="24" spans="1:7" s="43" customFormat="1" ht="63.6" customHeight="1">
      <c r="A24" s="508" t="s">
        <v>139</v>
      </c>
      <c r="B24" s="509"/>
      <c r="C24" s="1434" t="s">
        <v>657</v>
      </c>
      <c r="D24" s="1435"/>
      <c r="E24" s="1435"/>
      <c r="F24" s="1436"/>
      <c r="G24" s="71"/>
    </row>
    <row r="25" spans="1:7" s="43" customFormat="1">
      <c r="A25" s="49"/>
      <c r="B25" s="125"/>
      <c r="C25" s="51"/>
      <c r="D25" s="65"/>
      <c r="E25" s="56" t="s">
        <v>5</v>
      </c>
      <c r="F25" s="130" t="s">
        <v>6</v>
      </c>
      <c r="G25" s="71"/>
    </row>
    <row r="26" spans="1:7" ht="25.5">
      <c r="A26" s="46" t="s">
        <v>140</v>
      </c>
      <c r="B26" s="125" t="s">
        <v>90</v>
      </c>
      <c r="C26" s="1476" t="s">
        <v>141</v>
      </c>
      <c r="D26" s="1477"/>
      <c r="E26" s="10" t="s">
        <v>7</v>
      </c>
      <c r="F26" s="11" t="s">
        <v>7</v>
      </c>
    </row>
    <row r="27" spans="1:7" ht="27.6" customHeight="1">
      <c r="A27" s="46"/>
      <c r="B27" s="125"/>
      <c r="C27" s="1478" t="s">
        <v>142</v>
      </c>
      <c r="D27" s="1479"/>
      <c r="E27" s="47"/>
      <c r="F27" s="66"/>
    </row>
    <row r="28" spans="1:7">
      <c r="A28" s="46"/>
      <c r="B28" s="125"/>
      <c r="C28" s="1480" t="s">
        <v>81</v>
      </c>
      <c r="D28" s="1481"/>
      <c r="E28" s="47"/>
      <c r="F28" s="66"/>
    </row>
    <row r="29" spans="1:7">
      <c r="A29" s="46" t="s">
        <v>143</v>
      </c>
      <c r="B29" s="125"/>
      <c r="C29" s="1480" t="s">
        <v>63</v>
      </c>
      <c r="D29" s="1481"/>
      <c r="E29" s="47"/>
      <c r="F29" s="66"/>
    </row>
    <row r="30" spans="1:7">
      <c r="A30" s="49"/>
      <c r="B30" s="125"/>
      <c r="C30" s="1478" t="s">
        <v>144</v>
      </c>
      <c r="D30" s="1479"/>
      <c r="E30" s="47"/>
      <c r="F30" s="66"/>
    </row>
    <row r="31" spans="1:7" ht="25.5">
      <c r="A31" s="46" t="s">
        <v>145</v>
      </c>
      <c r="B31" s="125"/>
      <c r="C31" s="1478" t="s">
        <v>146</v>
      </c>
      <c r="D31" s="1479"/>
      <c r="E31" s="67"/>
      <c r="F31" s="132"/>
    </row>
    <row r="32" spans="1:7" ht="13.5" thickBot="1">
      <c r="A32" s="55"/>
      <c r="B32" s="389"/>
      <c r="C32" s="1466"/>
      <c r="D32" s="1467"/>
      <c r="E32" s="390"/>
      <c r="F32" s="50"/>
    </row>
    <row r="33" spans="1:7">
      <c r="B33" s="45"/>
      <c r="C33" s="121"/>
      <c r="D33" s="121"/>
      <c r="E33" s="122"/>
      <c r="F33" s="122"/>
    </row>
    <row r="34" spans="1:7" ht="13.15" customHeight="1">
      <c r="A34" s="43" t="s">
        <v>128</v>
      </c>
      <c r="B34" s="79" t="s">
        <v>582</v>
      </c>
      <c r="C34" s="491"/>
      <c r="D34" s="491"/>
      <c r="E34" s="491"/>
      <c r="F34" s="491"/>
    </row>
    <row r="35" spans="1:7" ht="13.5" thickBot="1">
      <c r="B35" s="68"/>
    </row>
    <row r="36" spans="1:7" s="43" customFormat="1" ht="14.45" customHeight="1">
      <c r="A36" s="1482" t="s">
        <v>2</v>
      </c>
      <c r="B36" s="451" t="s">
        <v>88</v>
      </c>
      <c r="C36" s="1484" t="s">
        <v>26</v>
      </c>
      <c r="D36" s="1485"/>
      <c r="E36" s="1485"/>
      <c r="F36" s="1486"/>
      <c r="G36" s="71"/>
    </row>
    <row r="37" spans="1:7" s="43" customFormat="1">
      <c r="A37" s="1483"/>
      <c r="B37" s="117"/>
      <c r="C37" s="1487"/>
      <c r="D37" s="1488"/>
      <c r="E37" s="1488"/>
      <c r="F37" s="1489"/>
      <c r="G37" s="71"/>
    </row>
    <row r="38" spans="1:7" ht="102" customHeight="1">
      <c r="A38" s="424" t="s">
        <v>634</v>
      </c>
      <c r="B38" s="527"/>
      <c r="C38" s="1442" t="s">
        <v>730</v>
      </c>
      <c r="D38" s="1468"/>
      <c r="E38" s="1468"/>
      <c r="F38" s="1469"/>
    </row>
    <row r="39" spans="1:7" ht="171" customHeight="1">
      <c r="A39" s="425" t="s">
        <v>634</v>
      </c>
      <c r="B39" s="427"/>
      <c r="C39" s="1470" t="s">
        <v>620</v>
      </c>
      <c r="D39" s="1471"/>
      <c r="E39" s="1471"/>
      <c r="F39" s="1472"/>
    </row>
    <row r="40" spans="1:7">
      <c r="A40" s="49"/>
      <c r="B40" s="125"/>
      <c r="C40" s="121"/>
      <c r="D40" s="121"/>
      <c r="E40" s="122"/>
      <c r="F40" s="64"/>
    </row>
    <row r="41" spans="1:7" ht="25.5">
      <c r="A41" s="46" t="s">
        <v>147</v>
      </c>
      <c r="B41" s="125">
        <v>29.4</v>
      </c>
      <c r="C41" s="120" t="s">
        <v>780</v>
      </c>
      <c r="D41" s="121"/>
      <c r="E41" s="122"/>
      <c r="F41" s="64"/>
    </row>
    <row r="42" spans="1:7" ht="70.900000000000006" customHeight="1">
      <c r="A42" s="46"/>
      <c r="B42" s="125"/>
      <c r="C42" s="1473" t="s">
        <v>731</v>
      </c>
      <c r="D42" s="1474"/>
      <c r="E42" s="1474"/>
      <c r="F42" s="1475"/>
    </row>
    <row r="43" spans="1:7" ht="6.6" customHeight="1">
      <c r="A43" s="49"/>
      <c r="B43" s="125"/>
      <c r="C43" s="121"/>
      <c r="D43" s="121"/>
      <c r="E43" s="122"/>
      <c r="F43" s="64"/>
    </row>
    <row r="44" spans="1:7" ht="38.25">
      <c r="A44" s="118" t="s">
        <v>148</v>
      </c>
      <c r="B44" s="133">
        <v>29.5</v>
      </c>
      <c r="C44" s="44" t="s">
        <v>596</v>
      </c>
      <c r="D44" s="45"/>
      <c r="E44" s="45"/>
      <c r="F44" s="134"/>
    </row>
    <row r="45" spans="1:7">
      <c r="A45" s="118"/>
      <c r="B45" s="84"/>
      <c r="C45" s="1494" t="s">
        <v>26</v>
      </c>
      <c r="D45" s="1495"/>
      <c r="E45" s="56" t="s">
        <v>5</v>
      </c>
      <c r="F45" s="130" t="s">
        <v>6</v>
      </c>
    </row>
    <row r="46" spans="1:7">
      <c r="A46" s="118"/>
      <c r="B46" s="84"/>
      <c r="C46" s="1494"/>
      <c r="D46" s="1495"/>
      <c r="E46" s="10" t="s">
        <v>7</v>
      </c>
      <c r="F46" s="11" t="s">
        <v>7</v>
      </c>
    </row>
    <row r="47" spans="1:7" ht="28.5" customHeight="1">
      <c r="A47" s="118"/>
      <c r="B47" s="84"/>
      <c r="C47" s="1496" t="s">
        <v>597</v>
      </c>
      <c r="D47" s="1497"/>
      <c r="E47" s="69"/>
      <c r="F47" s="135"/>
    </row>
    <row r="48" spans="1:7" ht="29.45" customHeight="1">
      <c r="A48" s="118"/>
      <c r="B48" s="84"/>
      <c r="C48" s="1498" t="s">
        <v>598</v>
      </c>
      <c r="D48" s="1499"/>
      <c r="E48" s="57"/>
      <c r="F48" s="136"/>
    </row>
    <row r="49" spans="1:6" ht="28.9" customHeight="1">
      <c r="A49" s="118"/>
      <c r="B49" s="84"/>
      <c r="C49" s="1498" t="s">
        <v>650</v>
      </c>
      <c r="D49" s="1499"/>
      <c r="E49" s="57"/>
      <c r="F49" s="136"/>
    </row>
    <row r="50" spans="1:6">
      <c r="A50" s="118"/>
      <c r="B50" s="84"/>
      <c r="C50" s="1498" t="s">
        <v>599</v>
      </c>
      <c r="D50" s="1499"/>
      <c r="E50" s="57"/>
      <c r="F50" s="136"/>
    </row>
    <row r="51" spans="1:6" ht="27.6" customHeight="1">
      <c r="A51" s="118"/>
      <c r="B51" s="84"/>
      <c r="C51" s="1498" t="s">
        <v>600</v>
      </c>
      <c r="D51" s="1499"/>
      <c r="E51" s="57"/>
      <c r="F51" s="136"/>
    </row>
    <row r="52" spans="1:6" ht="40.5" customHeight="1">
      <c r="A52" s="49"/>
      <c r="B52" s="84"/>
      <c r="C52" s="1493" t="s">
        <v>150</v>
      </c>
      <c r="D52" s="1493"/>
      <c r="E52" s="58"/>
      <c r="F52" s="137"/>
    </row>
    <row r="53" spans="1:6" ht="26.45" customHeight="1">
      <c r="A53" s="118"/>
      <c r="B53" s="133"/>
      <c r="C53" s="1473" t="s">
        <v>149</v>
      </c>
      <c r="D53" s="1474"/>
      <c r="E53" s="1474"/>
      <c r="F53" s="1475"/>
    </row>
    <row r="54" spans="1:6">
      <c r="A54" s="49"/>
      <c r="B54" s="125"/>
      <c r="C54" s="121"/>
      <c r="D54" s="121"/>
      <c r="E54" s="122"/>
      <c r="F54" s="64"/>
    </row>
    <row r="55" spans="1:6" ht="25.5">
      <c r="A55" s="46" t="s">
        <v>1</v>
      </c>
      <c r="B55" s="125">
        <v>29.6</v>
      </c>
      <c r="C55" s="120" t="s">
        <v>621</v>
      </c>
      <c r="D55" s="121"/>
      <c r="E55" s="122"/>
      <c r="F55" s="64"/>
    </row>
    <row r="56" spans="1:6" ht="32.450000000000003" customHeight="1">
      <c r="A56" s="49" t="s">
        <v>151</v>
      </c>
      <c r="B56" s="125"/>
      <c r="C56" s="1500" t="s">
        <v>152</v>
      </c>
      <c r="D56" s="1501"/>
      <c r="E56" s="1501"/>
      <c r="F56" s="1502"/>
    </row>
    <row r="57" spans="1:6" ht="43.15" customHeight="1">
      <c r="A57" s="49"/>
      <c r="B57" s="125"/>
      <c r="C57" s="441" t="s">
        <v>153</v>
      </c>
      <c r="D57" s="442" t="s">
        <v>154</v>
      </c>
      <c r="E57" s="443" t="s">
        <v>705</v>
      </c>
      <c r="F57" s="444" t="s">
        <v>155</v>
      </c>
    </row>
    <row r="58" spans="1:6">
      <c r="A58" s="49"/>
      <c r="B58" s="125"/>
      <c r="C58" s="138"/>
      <c r="D58" s="139"/>
      <c r="E58" s="413" t="s">
        <v>741</v>
      </c>
      <c r="F58" s="503" t="s">
        <v>742</v>
      </c>
    </row>
    <row r="59" spans="1:6">
      <c r="A59" s="49"/>
      <c r="B59" s="125"/>
      <c r="C59" s="65"/>
      <c r="D59" s="140"/>
      <c r="E59" s="414" t="s">
        <v>321</v>
      </c>
      <c r="F59" s="420" t="s">
        <v>554</v>
      </c>
    </row>
    <row r="60" spans="1:6">
      <c r="A60" s="49"/>
      <c r="B60" s="125"/>
      <c r="C60" s="141"/>
      <c r="D60" s="142"/>
      <c r="E60" s="67"/>
      <c r="F60" s="132"/>
    </row>
    <row r="61" spans="1:6" ht="13.5" thickBot="1">
      <c r="A61" s="55"/>
      <c r="B61" s="389"/>
      <c r="C61" s="391" t="s">
        <v>658</v>
      </c>
      <c r="D61" s="391"/>
      <c r="E61" s="390"/>
      <c r="F61" s="50"/>
    </row>
    <row r="62" spans="1:6">
      <c r="B62" s="45"/>
      <c r="C62" s="121"/>
      <c r="D62" s="121"/>
      <c r="E62" s="122"/>
      <c r="F62" s="122"/>
    </row>
    <row r="63" spans="1:6" ht="13.15" customHeight="1">
      <c r="A63" s="43" t="s">
        <v>128</v>
      </c>
      <c r="B63" s="79" t="s">
        <v>582</v>
      </c>
      <c r="C63" s="79"/>
      <c r="D63" s="79"/>
      <c r="E63" s="79"/>
      <c r="F63" s="79"/>
    </row>
    <row r="64" spans="1:6" ht="13.5" thickBot="1">
      <c r="B64" s="68"/>
    </row>
    <row r="65" spans="1:7" s="43" customFormat="1" ht="14.45" customHeight="1">
      <c r="A65" s="1482" t="s">
        <v>2</v>
      </c>
      <c r="B65" s="451" t="s">
        <v>88</v>
      </c>
      <c r="C65" s="1484" t="s">
        <v>26</v>
      </c>
      <c r="D65" s="1485"/>
      <c r="E65" s="1485"/>
      <c r="F65" s="1486"/>
      <c r="G65" s="71"/>
    </row>
    <row r="66" spans="1:7" s="43" customFormat="1">
      <c r="A66" s="1483"/>
      <c r="B66" s="117"/>
      <c r="C66" s="1487"/>
      <c r="D66" s="1488"/>
      <c r="E66" s="1488"/>
      <c r="F66" s="1489"/>
      <c r="G66" s="71"/>
    </row>
    <row r="67" spans="1:7" ht="25.9" customHeight="1">
      <c r="A67" s="46" t="s">
        <v>0</v>
      </c>
      <c r="B67" s="125">
        <v>29.7</v>
      </c>
      <c r="C67" s="1461" t="s">
        <v>666</v>
      </c>
      <c r="D67" s="1461"/>
      <c r="E67" s="1461"/>
      <c r="F67" s="1462"/>
    </row>
    <row r="68" spans="1:7" ht="46.15" customHeight="1">
      <c r="A68" s="49" t="s">
        <v>151</v>
      </c>
      <c r="B68" s="125"/>
      <c r="C68" s="1463" t="s">
        <v>781</v>
      </c>
      <c r="D68" s="1464"/>
      <c r="E68" s="1464"/>
      <c r="F68" s="1465"/>
    </row>
    <row r="69" spans="1:7" ht="42.6" customHeight="1">
      <c r="A69" s="49"/>
      <c r="B69" s="125"/>
      <c r="C69" s="1463" t="s">
        <v>601</v>
      </c>
      <c r="D69" s="1464"/>
      <c r="E69" s="1464"/>
      <c r="F69" s="1465"/>
    </row>
    <row r="70" spans="1:7">
      <c r="A70" s="49"/>
      <c r="B70" s="125"/>
      <c r="C70" s="121" t="s">
        <v>156</v>
      </c>
      <c r="D70" s="65"/>
      <c r="E70" s="143"/>
      <c r="F70" s="64"/>
    </row>
    <row r="71" spans="1:7">
      <c r="A71" s="49"/>
      <c r="B71" s="125"/>
      <c r="C71" s="445" t="s">
        <v>157</v>
      </c>
      <c r="D71" s="446" t="s">
        <v>83</v>
      </c>
      <c r="E71" s="447" t="s">
        <v>158</v>
      </c>
      <c r="F71" s="448" t="s">
        <v>159</v>
      </c>
    </row>
    <row r="72" spans="1:7">
      <c r="A72" s="49"/>
      <c r="B72" s="125"/>
      <c r="C72" s="144" t="s">
        <v>160</v>
      </c>
      <c r="D72" s="65" t="s">
        <v>23</v>
      </c>
      <c r="E72" s="47" t="s">
        <v>161</v>
      </c>
      <c r="F72" s="66" t="s">
        <v>162</v>
      </c>
    </row>
    <row r="73" spans="1:7">
      <c r="A73" s="49"/>
      <c r="B73" s="125"/>
      <c r="C73" s="65" t="s">
        <v>160</v>
      </c>
      <c r="D73" s="65" t="s">
        <v>163</v>
      </c>
      <c r="E73" s="47" t="s">
        <v>161</v>
      </c>
      <c r="F73" s="66" t="s">
        <v>162</v>
      </c>
    </row>
    <row r="74" spans="1:7">
      <c r="A74" s="49"/>
      <c r="B74" s="125"/>
      <c r="C74" s="65" t="s">
        <v>164</v>
      </c>
      <c r="D74" s="65" t="s">
        <v>165</v>
      </c>
      <c r="E74" s="47" t="s">
        <v>166</v>
      </c>
      <c r="F74" s="66" t="s">
        <v>162</v>
      </c>
    </row>
    <row r="75" spans="1:7">
      <c r="A75" s="49"/>
      <c r="B75" s="125"/>
      <c r="C75" s="141" t="s">
        <v>164</v>
      </c>
      <c r="D75" s="141" t="s">
        <v>167</v>
      </c>
      <c r="E75" s="67" t="s">
        <v>166</v>
      </c>
      <c r="F75" s="132" t="s">
        <v>162</v>
      </c>
    </row>
    <row r="76" spans="1:7">
      <c r="A76" s="49"/>
      <c r="B76" s="125"/>
      <c r="C76" s="121" t="s">
        <v>168</v>
      </c>
      <c r="D76" s="121"/>
      <c r="E76" s="145"/>
      <c r="F76" s="64"/>
    </row>
    <row r="77" spans="1:7">
      <c r="A77" s="49"/>
      <c r="B77" s="125"/>
      <c r="C77" s="121"/>
      <c r="D77" s="121"/>
      <c r="E77" s="122"/>
      <c r="F77" s="64"/>
    </row>
    <row r="78" spans="1:7">
      <c r="A78" s="49"/>
      <c r="B78" s="125"/>
      <c r="C78" s="121" t="s">
        <v>169</v>
      </c>
      <c r="D78" s="121"/>
      <c r="E78" s="146"/>
      <c r="F78" s="64"/>
    </row>
    <row r="79" spans="1:7">
      <c r="A79" s="49"/>
      <c r="B79" s="125"/>
      <c r="C79" s="445" t="s">
        <v>157</v>
      </c>
      <c r="D79" s="446" t="s">
        <v>83</v>
      </c>
      <c r="E79" s="447" t="s">
        <v>158</v>
      </c>
      <c r="F79" s="448" t="s">
        <v>159</v>
      </c>
    </row>
    <row r="80" spans="1:7">
      <c r="A80" s="49"/>
      <c r="B80" s="125"/>
      <c r="C80" s="144" t="s">
        <v>160</v>
      </c>
      <c r="D80" s="65" t="s">
        <v>23</v>
      </c>
      <c r="E80" s="47" t="s">
        <v>161</v>
      </c>
      <c r="F80" s="66" t="s">
        <v>162</v>
      </c>
    </row>
    <row r="81" spans="1:6">
      <c r="A81" s="49"/>
      <c r="B81" s="125"/>
      <c r="C81" s="65" t="s">
        <v>160</v>
      </c>
      <c r="D81" s="65" t="s">
        <v>163</v>
      </c>
      <c r="E81" s="47" t="s">
        <v>161</v>
      </c>
      <c r="F81" s="66" t="s">
        <v>162</v>
      </c>
    </row>
    <row r="82" spans="1:6">
      <c r="A82" s="49"/>
      <c r="B82" s="125"/>
      <c r="C82" s="65" t="s">
        <v>164</v>
      </c>
      <c r="D82" s="65" t="s">
        <v>165</v>
      </c>
      <c r="E82" s="47" t="s">
        <v>166</v>
      </c>
      <c r="F82" s="66" t="s">
        <v>162</v>
      </c>
    </row>
    <row r="83" spans="1:6">
      <c r="A83" s="49"/>
      <c r="B83" s="125"/>
      <c r="C83" s="141" t="s">
        <v>164</v>
      </c>
      <c r="D83" s="141" t="s">
        <v>167</v>
      </c>
      <c r="E83" s="67" t="s">
        <v>166</v>
      </c>
      <c r="F83" s="132" t="s">
        <v>162</v>
      </c>
    </row>
    <row r="84" spans="1:6">
      <c r="A84" s="49"/>
      <c r="B84" s="125"/>
      <c r="C84" s="121" t="s">
        <v>168</v>
      </c>
      <c r="D84" s="121"/>
      <c r="E84" s="122"/>
      <c r="F84" s="64"/>
    </row>
    <row r="85" spans="1:6">
      <c r="A85" s="49"/>
      <c r="B85" s="125"/>
      <c r="C85" s="121"/>
      <c r="D85" s="121"/>
      <c r="E85" s="122"/>
      <c r="F85" s="64"/>
    </row>
    <row r="86" spans="1:6" ht="36" customHeight="1">
      <c r="A86" s="49"/>
      <c r="B86" s="125"/>
      <c r="C86" s="1453" t="s">
        <v>170</v>
      </c>
      <c r="D86" s="1453"/>
      <c r="E86" s="1453"/>
      <c r="F86" s="1454"/>
    </row>
    <row r="87" spans="1:6" ht="31.15" customHeight="1">
      <c r="A87" s="49"/>
      <c r="B87" s="125"/>
      <c r="C87" s="1463" t="s">
        <v>171</v>
      </c>
      <c r="D87" s="1464"/>
      <c r="E87" s="1464"/>
      <c r="F87" s="1465"/>
    </row>
    <row r="88" spans="1:6">
      <c r="A88" s="49"/>
      <c r="B88" s="125"/>
      <c r="C88" s="1453" t="s">
        <v>172</v>
      </c>
      <c r="D88" s="1453"/>
      <c r="E88" s="1453"/>
      <c r="F88" s="1454"/>
    </row>
    <row r="89" spans="1:6">
      <c r="A89" s="49"/>
      <c r="B89" s="125"/>
      <c r="C89" s="1455" t="s">
        <v>173</v>
      </c>
      <c r="D89" s="1456"/>
      <c r="E89" s="1456" t="s">
        <v>6</v>
      </c>
      <c r="F89" s="1457"/>
    </row>
    <row r="90" spans="1:6">
      <c r="A90" s="49"/>
      <c r="B90" s="125"/>
      <c r="C90" s="449" t="s">
        <v>174</v>
      </c>
      <c r="D90" s="410" t="s">
        <v>175</v>
      </c>
      <c r="E90" s="410" t="s">
        <v>174</v>
      </c>
      <c r="F90" s="411" t="s">
        <v>175</v>
      </c>
    </row>
    <row r="91" spans="1:6">
      <c r="A91" s="49"/>
      <c r="B91" s="125"/>
      <c r="C91" s="450" t="s">
        <v>176</v>
      </c>
      <c r="D91" s="409" t="s">
        <v>177</v>
      </c>
      <c r="E91" s="409" t="s">
        <v>176</v>
      </c>
      <c r="F91" s="412" t="s">
        <v>177</v>
      </c>
    </row>
    <row r="92" spans="1:6" ht="25.5">
      <c r="A92" s="49"/>
      <c r="B92" s="125"/>
      <c r="C92" s="150" t="s">
        <v>7</v>
      </c>
      <c r="D92" s="539" t="s">
        <v>821</v>
      </c>
      <c r="E92" s="10" t="s">
        <v>7</v>
      </c>
      <c r="F92" s="538" t="s">
        <v>821</v>
      </c>
    </row>
    <row r="93" spans="1:6">
      <c r="A93" s="49"/>
      <c r="B93" s="125"/>
      <c r="C93" s="152"/>
      <c r="D93" s="152"/>
      <c r="E93" s="153"/>
      <c r="F93" s="154"/>
    </row>
    <row r="94" spans="1:6">
      <c r="A94" s="49"/>
      <c r="B94" s="125"/>
      <c r="C94" s="147"/>
      <c r="D94" s="147"/>
      <c r="E94" s="148"/>
      <c r="F94" s="149"/>
    </row>
    <row r="95" spans="1:6">
      <c r="A95" s="49"/>
      <c r="B95" s="125"/>
      <c r="C95" s="155"/>
      <c r="D95" s="155"/>
      <c r="E95" s="145"/>
      <c r="F95" s="64"/>
    </row>
    <row r="96" spans="1:6" ht="29.45" customHeight="1">
      <c r="A96" s="49" t="s">
        <v>151</v>
      </c>
      <c r="B96" s="76">
        <v>29.8</v>
      </c>
      <c r="C96" s="1458" t="s">
        <v>602</v>
      </c>
      <c r="D96" s="1459"/>
      <c r="E96" s="1459"/>
      <c r="F96" s="1460"/>
    </row>
    <row r="97" spans="1:6" ht="26.45" customHeight="1">
      <c r="A97" s="49"/>
      <c r="B97" s="76"/>
      <c r="C97" s="156" t="s">
        <v>76</v>
      </c>
      <c r="D97" s="157"/>
      <c r="E97" s="1445" t="s">
        <v>818</v>
      </c>
      <c r="F97" s="1446"/>
    </row>
    <row r="98" spans="1:6">
      <c r="A98" s="49"/>
      <c r="B98" s="76"/>
      <c r="C98" s="158"/>
      <c r="D98" s="159"/>
      <c r="E98" s="10" t="s">
        <v>7</v>
      </c>
      <c r="F98" s="11" t="s">
        <v>7</v>
      </c>
    </row>
    <row r="99" spans="1:6">
      <c r="A99" s="49"/>
      <c r="B99" s="76"/>
      <c r="C99" s="155" t="s">
        <v>178</v>
      </c>
      <c r="D99" s="155"/>
      <c r="E99" s="413" t="s">
        <v>241</v>
      </c>
      <c r="F99" s="73"/>
    </row>
    <row r="100" spans="1:6">
      <c r="A100" s="49"/>
      <c r="B100" s="76"/>
      <c r="C100" s="121" t="s">
        <v>179</v>
      </c>
      <c r="D100" s="121"/>
      <c r="E100" s="416" t="s">
        <v>242</v>
      </c>
      <c r="F100" s="415" t="s">
        <v>584</v>
      </c>
    </row>
    <row r="101" spans="1:6">
      <c r="A101" s="49"/>
      <c r="B101" s="76"/>
      <c r="C101" s="121" t="s">
        <v>180</v>
      </c>
      <c r="D101" s="121"/>
      <c r="E101" s="47"/>
      <c r="F101" s="415"/>
    </row>
    <row r="102" spans="1:6">
      <c r="A102" s="49"/>
      <c r="B102" s="76"/>
      <c r="C102" s="121" t="s">
        <v>181</v>
      </c>
      <c r="D102" s="121"/>
      <c r="E102" s="414" t="s">
        <v>585</v>
      </c>
      <c r="F102" s="64"/>
    </row>
    <row r="103" spans="1:6">
      <c r="A103" s="49"/>
      <c r="B103" s="76"/>
      <c r="C103" s="121" t="s">
        <v>182</v>
      </c>
      <c r="D103" s="121"/>
      <c r="E103" s="416" t="s">
        <v>586</v>
      </c>
      <c r="F103" s="420" t="s">
        <v>587</v>
      </c>
    </row>
    <row r="104" spans="1:6">
      <c r="A104" s="49"/>
      <c r="B104" s="76"/>
      <c r="C104" s="361"/>
      <c r="D104" s="141"/>
      <c r="E104" s="416"/>
      <c r="F104" s="417"/>
    </row>
    <row r="105" spans="1:6">
      <c r="A105" s="49"/>
      <c r="B105" s="76"/>
      <c r="C105" s="121"/>
      <c r="D105" s="121"/>
      <c r="E105" s="53"/>
      <c r="F105" s="73"/>
    </row>
    <row r="106" spans="1:6">
      <c r="A106" s="49"/>
      <c r="B106" s="76"/>
      <c r="C106" s="160" t="s">
        <v>588</v>
      </c>
      <c r="D106" s="160"/>
      <c r="E106" s="161"/>
      <c r="F106" s="417" t="s">
        <v>651</v>
      </c>
    </row>
    <row r="107" spans="1:6">
      <c r="A107" s="49"/>
      <c r="B107" s="76"/>
      <c r="C107" s="121"/>
      <c r="D107" s="121"/>
      <c r="E107" s="504"/>
      <c r="F107" s="417"/>
    </row>
    <row r="108" spans="1:6">
      <c r="A108" s="49"/>
      <c r="B108" s="84">
        <v>29.9</v>
      </c>
      <c r="C108" s="43" t="s">
        <v>819</v>
      </c>
      <c r="D108" s="121"/>
      <c r="E108" s="56" t="s">
        <v>5</v>
      </c>
      <c r="F108" s="130" t="s">
        <v>6</v>
      </c>
    </row>
    <row r="109" spans="1:6">
      <c r="A109" s="49"/>
      <c r="B109" s="76"/>
      <c r="C109" s="121"/>
      <c r="D109" s="121"/>
      <c r="E109" s="10" t="s">
        <v>7</v>
      </c>
      <c r="F109" s="11" t="s">
        <v>7</v>
      </c>
    </row>
    <row r="110" spans="1:6">
      <c r="A110" s="49"/>
      <c r="B110" s="84"/>
      <c r="C110" s="1" t="s">
        <v>183</v>
      </c>
      <c r="E110" s="48"/>
      <c r="F110" s="88"/>
    </row>
    <row r="111" spans="1:6">
      <c r="A111" s="49"/>
      <c r="B111" s="84"/>
      <c r="C111" s="1" t="s">
        <v>184</v>
      </c>
      <c r="E111" s="48"/>
      <c r="F111" s="88"/>
    </row>
    <row r="112" spans="1:6">
      <c r="A112" s="49"/>
      <c r="B112" s="84"/>
      <c r="C112" s="1" t="s">
        <v>185</v>
      </c>
      <c r="E112" s="48"/>
      <c r="F112" s="88"/>
    </row>
    <row r="113" spans="1:7">
      <c r="A113" s="49"/>
      <c r="B113" s="84"/>
      <c r="C113" s="1" t="s">
        <v>186</v>
      </c>
      <c r="E113" s="48"/>
      <c r="F113" s="88"/>
    </row>
    <row r="114" spans="1:7">
      <c r="A114" s="49"/>
      <c r="B114" s="84"/>
      <c r="C114" s="1" t="s">
        <v>78</v>
      </c>
      <c r="E114" s="59"/>
      <c r="F114" s="162"/>
    </row>
    <row r="115" spans="1:7" ht="13.5" thickBot="1">
      <c r="A115" s="55"/>
      <c r="B115" s="393"/>
      <c r="C115" s="1437" t="s">
        <v>43</v>
      </c>
      <c r="D115" s="1438"/>
      <c r="E115" s="105"/>
      <c r="F115" s="106"/>
    </row>
    <row r="116" spans="1:7">
      <c r="C116" s="493"/>
      <c r="D116" s="493"/>
    </row>
    <row r="117" spans="1:7">
      <c r="A117" s="43" t="s">
        <v>128</v>
      </c>
      <c r="B117" s="79" t="s">
        <v>582</v>
      </c>
      <c r="C117" s="79"/>
      <c r="D117" s="79"/>
      <c r="E117" s="79"/>
      <c r="F117" s="79"/>
    </row>
    <row r="118" spans="1:7" ht="13.5" thickBot="1">
      <c r="A118" s="365"/>
      <c r="B118" s="492"/>
      <c r="C118" s="365"/>
      <c r="D118" s="365"/>
      <c r="E118" s="365"/>
      <c r="F118" s="365"/>
    </row>
    <row r="119" spans="1:7" s="43" customFormat="1" ht="14.45" customHeight="1">
      <c r="A119" s="1482" t="s">
        <v>2</v>
      </c>
      <c r="B119" s="451" t="s">
        <v>88</v>
      </c>
      <c r="C119" s="1484" t="s">
        <v>26</v>
      </c>
      <c r="D119" s="1485"/>
      <c r="E119" s="1485"/>
      <c r="F119" s="1486"/>
      <c r="G119" s="71"/>
    </row>
    <row r="120" spans="1:7" s="43" customFormat="1">
      <c r="A120" s="1483"/>
      <c r="B120" s="117"/>
      <c r="C120" s="1487"/>
      <c r="D120" s="1488"/>
      <c r="E120" s="1488"/>
      <c r="F120" s="1489"/>
      <c r="G120" s="71"/>
    </row>
    <row r="121" spans="1:7" s="3" customFormat="1" ht="31.9" customHeight="1">
      <c r="A121" s="30" t="s">
        <v>187</v>
      </c>
      <c r="B121" s="166" t="s">
        <v>188</v>
      </c>
      <c r="C121" s="1503" t="s">
        <v>603</v>
      </c>
      <c r="D121" s="1504"/>
      <c r="E121" s="9" t="s">
        <v>86</v>
      </c>
      <c r="F121" s="392" t="s">
        <v>87</v>
      </c>
    </row>
    <row r="122" spans="1:7" s="3" customFormat="1" ht="17.25" customHeight="1">
      <c r="A122" s="12"/>
      <c r="B122" s="164"/>
      <c r="C122" s="21"/>
      <c r="D122" s="16"/>
      <c r="E122" s="10" t="s">
        <v>7</v>
      </c>
      <c r="F122" s="11" t="s">
        <v>7</v>
      </c>
    </row>
    <row r="123" spans="1:7" s="3" customFormat="1" ht="17.25" customHeight="1">
      <c r="A123" s="12"/>
      <c r="B123" s="164"/>
      <c r="C123" s="21"/>
      <c r="D123" s="16"/>
      <c r="E123" s="62"/>
      <c r="F123" s="170"/>
    </row>
    <row r="124" spans="1:7">
      <c r="A124" s="30"/>
      <c r="B124" s="164"/>
      <c r="C124" s="167" t="s">
        <v>189</v>
      </c>
      <c r="D124" s="16"/>
      <c r="E124" s="26"/>
      <c r="F124" s="31"/>
    </row>
    <row r="125" spans="1:7">
      <c r="A125" s="30"/>
      <c r="B125" s="164"/>
      <c r="C125" s="167"/>
      <c r="D125" s="16"/>
      <c r="E125" s="18"/>
      <c r="F125" s="32"/>
    </row>
    <row r="126" spans="1:7">
      <c r="A126" s="30"/>
      <c r="B126" s="164"/>
      <c r="C126" s="167" t="s">
        <v>190</v>
      </c>
      <c r="D126" s="16"/>
      <c r="E126" s="18"/>
      <c r="F126" s="32"/>
    </row>
    <row r="127" spans="1:7">
      <c r="A127" s="30"/>
      <c r="B127" s="164"/>
      <c r="C127" s="21" t="s">
        <v>191</v>
      </c>
      <c r="D127" s="16"/>
      <c r="E127" s="18"/>
      <c r="F127" s="32"/>
    </row>
    <row r="128" spans="1:7">
      <c r="A128" s="30"/>
      <c r="B128" s="164"/>
      <c r="C128" s="21" t="s">
        <v>192</v>
      </c>
      <c r="D128" s="16"/>
      <c r="E128" s="93"/>
      <c r="F128" s="168"/>
    </row>
    <row r="129" spans="1:6">
      <c r="A129" s="30"/>
      <c r="B129" s="164"/>
      <c r="C129" s="21"/>
      <c r="D129" s="16"/>
      <c r="E129" s="18"/>
      <c r="F129" s="32"/>
    </row>
    <row r="130" spans="1:6">
      <c r="A130" s="12"/>
      <c r="B130" s="164"/>
      <c r="C130" s="360" t="s">
        <v>193</v>
      </c>
      <c r="D130" s="169"/>
      <c r="E130" s="26"/>
      <c r="F130" s="31"/>
    </row>
    <row r="131" spans="1:6" ht="171" customHeight="1">
      <c r="A131" s="424" t="s">
        <v>634</v>
      </c>
      <c r="B131" s="426"/>
      <c r="C131" s="1442" t="s">
        <v>604</v>
      </c>
      <c r="D131" s="1443"/>
      <c r="E131" s="1443"/>
      <c r="F131" s="1444"/>
    </row>
    <row r="132" spans="1:6" ht="25.5">
      <c r="A132" s="30" t="s">
        <v>194</v>
      </c>
      <c r="B132" s="164">
        <v>29.11</v>
      </c>
      <c r="C132" s="15" t="s">
        <v>195</v>
      </c>
      <c r="D132" s="13"/>
      <c r="E132" s="87" t="s">
        <v>86</v>
      </c>
      <c r="F132" s="165" t="s">
        <v>87</v>
      </c>
    </row>
    <row r="133" spans="1:6">
      <c r="A133" s="30"/>
      <c r="B133" s="164"/>
      <c r="C133" s="15"/>
      <c r="D133" s="16"/>
      <c r="E133" s="10" t="s">
        <v>7</v>
      </c>
      <c r="F133" s="11" t="s">
        <v>7</v>
      </c>
    </row>
    <row r="134" spans="1:6">
      <c r="A134" s="12"/>
      <c r="B134" s="164"/>
      <c r="C134" s="21" t="s">
        <v>196</v>
      </c>
      <c r="D134" s="16"/>
      <c r="E134" s="16"/>
      <c r="F134" s="32"/>
    </row>
    <row r="135" spans="1:6">
      <c r="A135" s="12"/>
      <c r="B135" s="164"/>
      <c r="C135" s="21" t="s">
        <v>197</v>
      </c>
      <c r="D135" s="16"/>
      <c r="E135" s="16"/>
      <c r="F135" s="32"/>
    </row>
    <row r="136" spans="1:6">
      <c r="A136" s="12"/>
      <c r="B136" s="164"/>
      <c r="C136" s="21" t="s">
        <v>198</v>
      </c>
      <c r="D136" s="16"/>
      <c r="E136" s="16"/>
      <c r="F136" s="32"/>
    </row>
    <row r="137" spans="1:6">
      <c r="A137" s="12"/>
      <c r="B137" s="164"/>
      <c r="C137" s="21" t="s">
        <v>80</v>
      </c>
      <c r="D137" s="16"/>
      <c r="E137" s="16"/>
      <c r="F137" s="32"/>
    </row>
    <row r="138" spans="1:6">
      <c r="A138" s="12"/>
      <c r="B138" s="164"/>
      <c r="C138" s="21" t="s">
        <v>199</v>
      </c>
      <c r="D138" s="16"/>
      <c r="E138" s="16"/>
      <c r="F138" s="31"/>
    </row>
    <row r="139" spans="1:6" ht="93.75" customHeight="1">
      <c r="A139" s="424" t="s">
        <v>634</v>
      </c>
      <c r="B139" s="426"/>
      <c r="C139" s="1442" t="s">
        <v>667</v>
      </c>
      <c r="D139" s="1443"/>
      <c r="E139" s="1443"/>
      <c r="F139" s="1444"/>
    </row>
    <row r="140" spans="1:6" ht="39.75" customHeight="1">
      <c r="A140" s="30" t="s">
        <v>202</v>
      </c>
      <c r="B140" s="171">
        <v>29.12</v>
      </c>
      <c r="C140" s="15" t="s">
        <v>203</v>
      </c>
      <c r="D140" s="74"/>
      <c r="E140" s="1445" t="s">
        <v>200</v>
      </c>
      <c r="F140" s="1446"/>
    </row>
    <row r="141" spans="1:6">
      <c r="A141" s="12"/>
      <c r="B141" s="164"/>
      <c r="C141" s="21"/>
      <c r="D141" s="74"/>
      <c r="E141" s="10" t="s">
        <v>7</v>
      </c>
      <c r="F141" s="11" t="s">
        <v>201</v>
      </c>
    </row>
    <row r="142" spans="1:6">
      <c r="A142" s="30"/>
      <c r="B142" s="164"/>
      <c r="C142" s="172" t="s">
        <v>204</v>
      </c>
      <c r="D142" s="74"/>
      <c r="E142" s="18"/>
      <c r="F142" s="32"/>
    </row>
    <row r="143" spans="1:6">
      <c r="A143" s="12"/>
      <c r="B143" s="164"/>
      <c r="C143" s="21" t="s">
        <v>189</v>
      </c>
      <c r="D143" s="74"/>
      <c r="E143" s="17" t="s">
        <v>697</v>
      </c>
      <c r="F143" s="357" t="s">
        <v>698</v>
      </c>
    </row>
    <row r="144" spans="1:6">
      <c r="A144" s="12"/>
      <c r="B144" s="164"/>
      <c r="C144" s="21"/>
      <c r="D144" s="74"/>
      <c r="E144" s="17" t="s">
        <v>321</v>
      </c>
      <c r="F144" s="357" t="s">
        <v>553</v>
      </c>
    </row>
    <row r="145" spans="1:7">
      <c r="A145" s="12"/>
      <c r="B145" s="164"/>
      <c r="C145" s="21"/>
      <c r="D145" s="74"/>
      <c r="E145" s="18"/>
      <c r="F145" s="32"/>
    </row>
    <row r="146" spans="1:7">
      <c r="A146" s="12"/>
      <c r="B146" s="164"/>
      <c r="C146" s="167" t="s">
        <v>190</v>
      </c>
      <c r="D146" s="74"/>
      <c r="E146" s="17" t="s">
        <v>697</v>
      </c>
      <c r="F146" s="357" t="s">
        <v>698</v>
      </c>
    </row>
    <row r="147" spans="1:7">
      <c r="A147" s="12"/>
      <c r="B147" s="164"/>
      <c r="C147" s="167"/>
      <c r="D147" s="74"/>
      <c r="E147" s="17" t="s">
        <v>554</v>
      </c>
      <c r="F147" s="357" t="s">
        <v>555</v>
      </c>
    </row>
    <row r="148" spans="1:7">
      <c r="A148" s="12"/>
      <c r="B148" s="164"/>
      <c r="C148" s="167"/>
      <c r="D148" s="74"/>
      <c r="E148" s="17"/>
      <c r="F148" s="357"/>
    </row>
    <row r="149" spans="1:7">
      <c r="A149" s="12"/>
      <c r="B149" s="164"/>
      <c r="C149" s="21" t="s">
        <v>191</v>
      </c>
      <c r="D149" s="74"/>
      <c r="E149" s="17" t="s">
        <v>697</v>
      </c>
      <c r="F149" s="357" t="s">
        <v>698</v>
      </c>
    </row>
    <row r="150" spans="1:7">
      <c r="A150" s="12"/>
      <c r="B150" s="164"/>
      <c r="C150" s="21"/>
      <c r="D150" s="74"/>
      <c r="E150" s="17" t="s">
        <v>167</v>
      </c>
      <c r="F150" s="357" t="s">
        <v>556</v>
      </c>
    </row>
    <row r="151" spans="1:7">
      <c r="A151" s="12"/>
      <c r="B151" s="164"/>
      <c r="C151" s="21"/>
      <c r="D151" s="74"/>
      <c r="E151" s="18"/>
      <c r="F151" s="32"/>
    </row>
    <row r="152" spans="1:7">
      <c r="A152" s="12"/>
      <c r="B152" s="164"/>
      <c r="C152" s="21"/>
      <c r="D152" s="520" t="s">
        <v>43</v>
      </c>
      <c r="E152" s="14" t="s">
        <v>699</v>
      </c>
      <c r="F152" s="460" t="s">
        <v>700</v>
      </c>
    </row>
    <row r="153" spans="1:7" ht="13.5" thickBot="1">
      <c r="A153" s="24"/>
      <c r="B153" s="176"/>
      <c r="C153" s="263"/>
      <c r="D153" s="401"/>
      <c r="E153" s="23" t="s">
        <v>557</v>
      </c>
      <c r="F153" s="494" t="s">
        <v>558</v>
      </c>
    </row>
    <row r="154" spans="1:7">
      <c r="A154" s="4"/>
      <c r="B154" s="22"/>
      <c r="C154" s="4"/>
      <c r="E154" s="22"/>
      <c r="F154" s="22"/>
    </row>
    <row r="155" spans="1:7">
      <c r="A155" s="43" t="s">
        <v>128</v>
      </c>
      <c r="B155" s="79" t="s">
        <v>582</v>
      </c>
      <c r="C155" s="79"/>
      <c r="D155" s="79"/>
      <c r="E155" s="79"/>
      <c r="F155" s="79"/>
    </row>
    <row r="156" spans="1:7" ht="13.5" thickBot="1">
      <c r="B156" s="68"/>
    </row>
    <row r="157" spans="1:7" s="43" customFormat="1" ht="14.45" customHeight="1">
      <c r="A157" s="1482" t="s">
        <v>2</v>
      </c>
      <c r="B157" s="451" t="s">
        <v>88</v>
      </c>
      <c r="C157" s="1484" t="s">
        <v>26</v>
      </c>
      <c r="D157" s="1485"/>
      <c r="E157" s="1485"/>
      <c r="F157" s="1486"/>
      <c r="G157" s="71"/>
    </row>
    <row r="158" spans="1:7" s="43" customFormat="1">
      <c r="A158" s="1483"/>
      <c r="B158" s="117"/>
      <c r="C158" s="1487"/>
      <c r="D158" s="1488"/>
      <c r="E158" s="1488"/>
      <c r="F158" s="1489"/>
      <c r="G158" s="71"/>
    </row>
    <row r="159" spans="1:7" ht="31.15" customHeight="1">
      <c r="A159" s="12"/>
      <c r="B159" s="164"/>
      <c r="C159" s="461" t="s">
        <v>205</v>
      </c>
      <c r="D159" s="89"/>
      <c r="E159" s="1445" t="s">
        <v>200</v>
      </c>
      <c r="F159" s="1446"/>
    </row>
    <row r="160" spans="1:7">
      <c r="A160" s="12"/>
      <c r="B160" s="164"/>
      <c r="C160" s="172"/>
      <c r="D160" s="74"/>
      <c r="E160" s="10" t="s">
        <v>7</v>
      </c>
      <c r="F160" s="11" t="s">
        <v>201</v>
      </c>
    </row>
    <row r="161" spans="1:8">
      <c r="A161" s="12"/>
      <c r="B161" s="164"/>
      <c r="C161" s="21" t="s">
        <v>189</v>
      </c>
      <c r="D161" s="74"/>
      <c r="E161" s="17" t="s">
        <v>701</v>
      </c>
      <c r="F161" s="357" t="s">
        <v>702</v>
      </c>
    </row>
    <row r="162" spans="1:8">
      <c r="A162" s="12"/>
      <c r="B162" s="164"/>
      <c r="C162" s="21"/>
      <c r="D162" s="74"/>
      <c r="E162" s="17" t="s">
        <v>559</v>
      </c>
      <c r="F162" s="357" t="s">
        <v>560</v>
      </c>
    </row>
    <row r="163" spans="1:8">
      <c r="A163" s="12"/>
      <c r="B163" s="164"/>
      <c r="C163" s="21"/>
      <c r="D163" s="74"/>
      <c r="E163" s="18"/>
      <c r="F163" s="32"/>
    </row>
    <row r="164" spans="1:8">
      <c r="A164" s="12"/>
      <c r="B164" s="164"/>
      <c r="C164" s="167" t="s">
        <v>190</v>
      </c>
      <c r="D164" s="74"/>
      <c r="E164" s="17" t="s">
        <v>701</v>
      </c>
      <c r="F164" s="357" t="s">
        <v>702</v>
      </c>
    </row>
    <row r="165" spans="1:8">
      <c r="A165" s="12"/>
      <c r="B165" s="164"/>
      <c r="C165" s="167"/>
      <c r="D165" s="74"/>
      <c r="E165" s="17" t="s">
        <v>163</v>
      </c>
      <c r="F165" s="357" t="s">
        <v>561</v>
      </c>
    </row>
    <row r="166" spans="1:8">
      <c r="A166" s="12"/>
      <c r="B166" s="164"/>
      <c r="C166" s="167"/>
      <c r="D166" s="74"/>
      <c r="E166" s="17"/>
      <c r="F166" s="357"/>
    </row>
    <row r="167" spans="1:8">
      <c r="A167" s="12"/>
      <c r="B167" s="164"/>
      <c r="C167" s="21" t="s">
        <v>191</v>
      </c>
      <c r="D167" s="74"/>
      <c r="E167" s="17" t="s">
        <v>701</v>
      </c>
      <c r="F167" s="357" t="s">
        <v>702</v>
      </c>
    </row>
    <row r="168" spans="1:8">
      <c r="A168" s="12"/>
      <c r="B168" s="164"/>
      <c r="C168" s="21"/>
      <c r="D168" s="74"/>
      <c r="E168" s="17" t="s">
        <v>562</v>
      </c>
      <c r="F168" s="357" t="s">
        <v>563</v>
      </c>
    </row>
    <row r="169" spans="1:8">
      <c r="A169" s="12"/>
      <c r="B169" s="164"/>
      <c r="C169" s="21"/>
      <c r="D169" s="74"/>
      <c r="E169" s="18"/>
      <c r="F169" s="32"/>
    </row>
    <row r="170" spans="1:8">
      <c r="A170" s="12"/>
      <c r="B170" s="164"/>
      <c r="C170" s="21"/>
      <c r="D170" s="493" t="s">
        <v>43</v>
      </c>
      <c r="E170" s="14" t="s">
        <v>703</v>
      </c>
      <c r="F170" s="460" t="s">
        <v>704</v>
      </c>
    </row>
    <row r="171" spans="1:8">
      <c r="A171" s="12"/>
      <c r="B171" s="164"/>
      <c r="C171" s="21"/>
      <c r="D171" s="74"/>
      <c r="E171" s="355" t="s">
        <v>564</v>
      </c>
      <c r="F171" s="358" t="s">
        <v>565</v>
      </c>
      <c r="G171" s="4"/>
      <c r="H171" s="4"/>
    </row>
    <row r="172" spans="1:8">
      <c r="A172" s="12"/>
      <c r="B172" s="164"/>
      <c r="C172" s="21" t="s">
        <v>706</v>
      </c>
      <c r="D172" s="77"/>
      <c r="E172" s="356"/>
      <c r="F172" s="359"/>
      <c r="G172" s="4"/>
      <c r="H172" s="4"/>
    </row>
    <row r="173" spans="1:8" ht="101.25" customHeight="1">
      <c r="A173" s="424" t="s">
        <v>634</v>
      </c>
      <c r="B173" s="426"/>
      <c r="C173" s="1442" t="s">
        <v>605</v>
      </c>
      <c r="D173" s="1443"/>
      <c r="E173" s="1443"/>
      <c r="F173" s="1444"/>
      <c r="G173" s="4"/>
      <c r="H173" s="4"/>
    </row>
    <row r="174" spans="1:8" ht="27" customHeight="1">
      <c r="A174" s="12"/>
      <c r="B174" s="164"/>
      <c r="C174" s="173"/>
      <c r="D174" s="13"/>
      <c r="E174" s="87" t="s">
        <v>86</v>
      </c>
      <c r="F174" s="165" t="s">
        <v>87</v>
      </c>
      <c r="G174" s="4"/>
      <c r="H174" s="4"/>
    </row>
    <row r="175" spans="1:8">
      <c r="A175" s="34"/>
      <c r="B175" s="164"/>
      <c r="C175" s="29"/>
      <c r="D175" s="16"/>
      <c r="E175" s="10" t="s">
        <v>7</v>
      </c>
      <c r="F175" s="11" t="s">
        <v>7</v>
      </c>
      <c r="G175" s="4"/>
      <c r="H175" s="4"/>
    </row>
    <row r="176" spans="1:8" ht="25.5">
      <c r="A176" s="34" t="s">
        <v>722</v>
      </c>
      <c r="B176" s="171">
        <v>29.13</v>
      </c>
      <c r="C176" s="29" t="s">
        <v>206</v>
      </c>
      <c r="D176" s="16"/>
      <c r="E176" s="78"/>
      <c r="F176" s="170"/>
      <c r="G176" s="4"/>
      <c r="H176" s="4"/>
    </row>
    <row r="177" spans="1:8">
      <c r="A177" s="12"/>
      <c r="B177" s="164"/>
      <c r="C177" s="174" t="s">
        <v>659</v>
      </c>
      <c r="D177" s="16"/>
      <c r="E177" s="18"/>
      <c r="F177" s="32"/>
      <c r="G177" s="4"/>
      <c r="H177" s="4"/>
    </row>
    <row r="178" spans="1:8">
      <c r="A178" s="12"/>
      <c r="B178" s="164"/>
      <c r="C178" s="1449" t="s">
        <v>207</v>
      </c>
      <c r="D178" s="1450"/>
      <c r="E178" s="18"/>
      <c r="F178" s="32"/>
      <c r="G178" s="4"/>
      <c r="H178" s="4"/>
    </row>
    <row r="179" spans="1:8">
      <c r="A179" s="12"/>
      <c r="B179" s="164"/>
      <c r="C179" s="174" t="s">
        <v>208</v>
      </c>
      <c r="D179" s="16"/>
      <c r="E179" s="18"/>
      <c r="F179" s="32"/>
      <c r="G179" s="4"/>
      <c r="H179" s="4"/>
    </row>
    <row r="180" spans="1:8">
      <c r="A180" s="12"/>
      <c r="B180" s="164"/>
      <c r="C180" s="21" t="s">
        <v>209</v>
      </c>
      <c r="D180" s="169"/>
      <c r="E180" s="26"/>
      <c r="F180" s="31"/>
      <c r="G180" s="4"/>
      <c r="H180" s="4"/>
    </row>
    <row r="181" spans="1:8" ht="60" customHeight="1">
      <c r="A181" s="424" t="s">
        <v>634</v>
      </c>
      <c r="B181" s="426"/>
      <c r="C181" s="1442" t="s">
        <v>606</v>
      </c>
      <c r="D181" s="1443"/>
      <c r="E181" s="1443"/>
      <c r="F181" s="1444"/>
      <c r="G181" s="4"/>
      <c r="H181" s="4"/>
    </row>
    <row r="182" spans="1:8" ht="30" customHeight="1">
      <c r="A182" s="34" t="s">
        <v>723</v>
      </c>
      <c r="B182" s="171">
        <v>29.14</v>
      </c>
      <c r="C182" s="1447" t="s">
        <v>210</v>
      </c>
      <c r="D182" s="1448"/>
      <c r="E182" s="87" t="s">
        <v>86</v>
      </c>
      <c r="F182" s="165" t="s">
        <v>87</v>
      </c>
      <c r="G182" s="4"/>
      <c r="H182" s="4"/>
    </row>
    <row r="183" spans="1:8">
      <c r="A183" s="34"/>
      <c r="B183" s="171"/>
      <c r="C183" s="28"/>
      <c r="D183" s="536"/>
      <c r="E183" s="10" t="s">
        <v>7</v>
      </c>
      <c r="F183" s="11" t="s">
        <v>7</v>
      </c>
      <c r="G183" s="4"/>
      <c r="H183" s="4"/>
    </row>
    <row r="184" spans="1:8" ht="21" customHeight="1">
      <c r="A184" s="175"/>
      <c r="B184" s="164"/>
      <c r="C184" s="174" t="s">
        <v>211</v>
      </c>
      <c r="D184" s="16"/>
      <c r="E184" s="18"/>
      <c r="F184" s="32"/>
      <c r="G184" s="4"/>
      <c r="H184" s="4"/>
    </row>
    <row r="185" spans="1:8" ht="30" customHeight="1">
      <c r="A185" s="175"/>
      <c r="B185" s="164"/>
      <c r="C185" s="1451" t="s">
        <v>212</v>
      </c>
      <c r="D185" s="1452"/>
      <c r="E185" s="18"/>
      <c r="F185" s="32"/>
      <c r="G185" s="4"/>
      <c r="H185" s="4"/>
    </row>
    <row r="186" spans="1:8">
      <c r="A186" s="175"/>
      <c r="B186" s="164"/>
      <c r="C186" s="21" t="s">
        <v>213</v>
      </c>
      <c r="D186" s="16"/>
      <c r="E186" s="18"/>
      <c r="F186" s="32"/>
      <c r="G186" s="4"/>
      <c r="H186" s="4"/>
    </row>
    <row r="187" spans="1:8">
      <c r="A187" s="12"/>
      <c r="B187" s="164"/>
      <c r="C187" s="174" t="s">
        <v>214</v>
      </c>
      <c r="D187" s="169"/>
      <c r="E187" s="26"/>
      <c r="F187" s="31"/>
    </row>
    <row r="188" spans="1:8" ht="31.9" customHeight="1" thickBot="1">
      <c r="A188" s="428" t="s">
        <v>634</v>
      </c>
      <c r="B188" s="429"/>
      <c r="C188" s="1439" t="s">
        <v>607</v>
      </c>
      <c r="D188" s="1440"/>
      <c r="E188" s="1440"/>
      <c r="F188" s="1441"/>
    </row>
    <row r="189" spans="1:8" s="43" customFormat="1" ht="49.15" customHeight="1">
      <c r="A189" s="510" t="s">
        <v>782</v>
      </c>
      <c r="B189" s="509">
        <v>29.15</v>
      </c>
      <c r="C189" s="1434" t="s">
        <v>787</v>
      </c>
      <c r="D189" s="1435"/>
      <c r="E189" s="1435"/>
      <c r="F189" s="1436"/>
      <c r="G189" s="71"/>
    </row>
  </sheetData>
  <mergeCells count="61">
    <mergeCell ref="A119:A120"/>
    <mergeCell ref="C119:F120"/>
    <mergeCell ref="A157:A158"/>
    <mergeCell ref="C157:F158"/>
    <mergeCell ref="C121:D121"/>
    <mergeCell ref="E140:F140"/>
    <mergeCell ref="A36:A37"/>
    <mergeCell ref="C36:F37"/>
    <mergeCell ref="A65:A66"/>
    <mergeCell ref="C65:F66"/>
    <mergeCell ref="C52:D52"/>
    <mergeCell ref="C45:D46"/>
    <mergeCell ref="C47:D47"/>
    <mergeCell ref="C48:D48"/>
    <mergeCell ref="C49:D49"/>
    <mergeCell ref="C50:D50"/>
    <mergeCell ref="C51:D51"/>
    <mergeCell ref="C56:F56"/>
    <mergeCell ref="A7:A8"/>
    <mergeCell ref="C7:F8"/>
    <mergeCell ref="C10:F10"/>
    <mergeCell ref="C13:F13"/>
    <mergeCell ref="C14:F14"/>
    <mergeCell ref="C19:D19"/>
    <mergeCell ref="C20:D20"/>
    <mergeCell ref="C21:D21"/>
    <mergeCell ref="C31:D31"/>
    <mergeCell ref="C22:D22"/>
    <mergeCell ref="C23:F23"/>
    <mergeCell ref="C24:F24"/>
    <mergeCell ref="C26:D26"/>
    <mergeCell ref="C27:D27"/>
    <mergeCell ref="C28:D28"/>
    <mergeCell ref="C29:D29"/>
    <mergeCell ref="C30:D30"/>
    <mergeCell ref="C32:D32"/>
    <mergeCell ref="C38:F38"/>
    <mergeCell ref="C39:F39"/>
    <mergeCell ref="C42:F42"/>
    <mergeCell ref="C53:F53"/>
    <mergeCell ref="C67:F67"/>
    <mergeCell ref="C68:F68"/>
    <mergeCell ref="C69:F69"/>
    <mergeCell ref="C86:F86"/>
    <mergeCell ref="C87:F87"/>
    <mergeCell ref="C88:F88"/>
    <mergeCell ref="C89:D89"/>
    <mergeCell ref="E89:F89"/>
    <mergeCell ref="C96:F96"/>
    <mergeCell ref="E97:F97"/>
    <mergeCell ref="C189:F189"/>
    <mergeCell ref="C115:D115"/>
    <mergeCell ref="C188:F188"/>
    <mergeCell ref="C131:F131"/>
    <mergeCell ref="C139:F139"/>
    <mergeCell ref="E159:F159"/>
    <mergeCell ref="C173:F173"/>
    <mergeCell ref="C181:F181"/>
    <mergeCell ref="C182:D182"/>
    <mergeCell ref="C178:D178"/>
    <mergeCell ref="C185:D185"/>
  </mergeCells>
  <pageMargins left="0.5" right="0.5" top="0.5" bottom="0.5" header="0.5" footer="0.5"/>
  <pageSetup scale="76" fitToHeight="0" orientation="portrait" r:id="rId1"/>
  <rowBreaks count="4" manualBreakCount="4">
    <brk id="32" max="16383" man="1"/>
    <brk id="61" max="16383" man="1"/>
    <brk id="115" max="5" man="1"/>
    <brk id="153" max="16383" man="1"/>
  </rowBreaks>
  <colBreaks count="1" manualBreakCount="1">
    <brk id="6"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3">
    <pageSetUpPr fitToPage="1"/>
  </sheetPr>
  <dimension ref="A2:E16"/>
  <sheetViews>
    <sheetView showGridLines="0" view="pageBreakPreview" zoomScaleNormal="80" zoomScaleSheetLayoutView="100" workbookViewId="0">
      <selection activeCell="C11" sqref="C11"/>
    </sheetView>
  </sheetViews>
  <sheetFormatPr defaultColWidth="8.85546875" defaultRowHeight="12.75"/>
  <cols>
    <col min="1" max="1" width="9.85546875" style="33" customWidth="1"/>
    <col min="2" max="2" width="8.28515625" style="186" customWidth="1"/>
    <col min="3" max="3" width="63" style="33" customWidth="1"/>
    <col min="4" max="4" width="18.140625" style="33" customWidth="1"/>
    <col min="5" max="5" width="19.28515625" style="33" customWidth="1"/>
    <col min="6" max="6" width="11.42578125" style="33" bestFit="1" customWidth="1"/>
    <col min="7" max="7" width="8.85546875" style="33"/>
    <col min="8" max="8" width="11.140625" style="33" bestFit="1" customWidth="1"/>
    <col min="9" max="9" width="11.7109375" style="33" customWidth="1"/>
    <col min="10" max="10" width="12.7109375" style="33" bestFit="1" customWidth="1"/>
    <col min="11" max="16384" width="8.85546875" style="33"/>
  </cols>
  <sheetData>
    <row r="2" spans="1:5">
      <c r="A2" s="4"/>
      <c r="B2" s="90" t="s">
        <v>3</v>
      </c>
      <c r="D2" s="4"/>
      <c r="E2" s="4"/>
    </row>
    <row r="3" spans="1:5">
      <c r="A3" s="4"/>
      <c r="B3" s="90" t="s">
        <v>60</v>
      </c>
      <c r="D3" s="4"/>
      <c r="E3" s="4"/>
    </row>
    <row r="4" spans="1:5">
      <c r="A4" s="4"/>
      <c r="B4" s="33"/>
      <c r="D4" s="4"/>
      <c r="E4" s="4"/>
    </row>
    <row r="5" spans="1:5">
      <c r="A5" s="43" t="s">
        <v>128</v>
      </c>
      <c r="B5" s="90" t="s">
        <v>223</v>
      </c>
      <c r="D5" s="4"/>
      <c r="E5" s="4"/>
    </row>
    <row r="6" spans="1:5" ht="13.5" thickBot="1">
      <c r="A6" s="4"/>
      <c r="B6" s="22"/>
      <c r="C6" s="4"/>
      <c r="D6" s="4"/>
      <c r="E6" s="4"/>
    </row>
    <row r="7" spans="1:5" ht="38.25">
      <c r="A7" s="1505" t="s">
        <v>2</v>
      </c>
      <c r="B7" s="451" t="s">
        <v>88</v>
      </c>
      <c r="C7" s="1507" t="s">
        <v>26</v>
      </c>
      <c r="D7" s="6" t="s">
        <v>200</v>
      </c>
      <c r="E7" s="7" t="s">
        <v>28</v>
      </c>
    </row>
    <row r="8" spans="1:5">
      <c r="A8" s="1506"/>
      <c r="B8" s="117"/>
      <c r="C8" s="1508"/>
      <c r="D8" s="10" t="s">
        <v>7</v>
      </c>
      <c r="E8" s="11" t="s">
        <v>7</v>
      </c>
    </row>
    <row r="9" spans="1:5">
      <c r="A9" s="177" t="s">
        <v>224</v>
      </c>
      <c r="B9" s="178">
        <v>30.1</v>
      </c>
      <c r="C9" s="372" t="s">
        <v>225</v>
      </c>
      <c r="D9" s="193"/>
      <c r="E9" s="180"/>
    </row>
    <row r="10" spans="1:5">
      <c r="A10" s="177" t="s">
        <v>226</v>
      </c>
      <c r="B10" s="181"/>
      <c r="C10" s="124" t="s">
        <v>227</v>
      </c>
      <c r="D10" s="195"/>
      <c r="E10" s="36"/>
    </row>
    <row r="11" spans="1:5" ht="25.5">
      <c r="A11" s="177" t="s">
        <v>228</v>
      </c>
      <c r="B11" s="181"/>
      <c r="C11" s="124" t="s">
        <v>744</v>
      </c>
      <c r="D11" s="195"/>
      <c r="E11" s="36"/>
    </row>
    <row r="12" spans="1:5">
      <c r="A12" s="177" t="s">
        <v>229</v>
      </c>
      <c r="B12" s="181"/>
      <c r="C12" s="124" t="s">
        <v>230</v>
      </c>
      <c r="D12" s="195"/>
      <c r="E12" s="36"/>
    </row>
    <row r="13" spans="1:5">
      <c r="A13" s="177" t="s">
        <v>231</v>
      </c>
      <c r="B13" s="181"/>
      <c r="C13" s="124" t="s">
        <v>232</v>
      </c>
      <c r="D13" s="195"/>
      <c r="E13" s="36"/>
    </row>
    <row r="14" spans="1:5">
      <c r="A14" s="37" t="s">
        <v>574</v>
      </c>
      <c r="B14" s="152"/>
      <c r="C14" s="124" t="s">
        <v>575</v>
      </c>
      <c r="D14" s="195"/>
      <c r="E14" s="36"/>
    </row>
    <row r="15" spans="1:5">
      <c r="A15" s="37" t="s">
        <v>576</v>
      </c>
      <c r="B15" s="152"/>
      <c r="C15" s="124" t="s">
        <v>577</v>
      </c>
      <c r="D15" s="195"/>
      <c r="E15" s="36"/>
    </row>
    <row r="16" spans="1:5" ht="13.5" thickBot="1">
      <c r="A16" s="39"/>
      <c r="B16" s="183"/>
      <c r="C16" s="184"/>
      <c r="D16" s="304"/>
      <c r="E16" s="40"/>
    </row>
  </sheetData>
  <mergeCells count="2">
    <mergeCell ref="A7:A8"/>
    <mergeCell ref="C7:C8"/>
  </mergeCells>
  <pageMargins left="0.5" right="0.5" top="0.5" bottom="0.5" header="0.5" footer="0.5"/>
  <pageSetup scale="80"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44">
    <pageSetUpPr fitToPage="1"/>
  </sheetPr>
  <dimension ref="A2:E16"/>
  <sheetViews>
    <sheetView showGridLines="0" workbookViewId="0">
      <selection activeCell="C15" sqref="C15"/>
    </sheetView>
  </sheetViews>
  <sheetFormatPr defaultColWidth="8.85546875" defaultRowHeight="12.75"/>
  <cols>
    <col min="1" max="1" width="11.85546875" style="33" bestFit="1" customWidth="1"/>
    <col min="2" max="2" width="8.85546875" style="186"/>
    <col min="3" max="3" width="61.28515625" style="33" customWidth="1"/>
    <col min="4" max="4" width="20.28515625" style="33" customWidth="1"/>
    <col min="5" max="5" width="19.140625" style="33" customWidth="1"/>
    <col min="6" max="6" width="11.42578125" style="33" bestFit="1" customWidth="1"/>
    <col min="7" max="7" width="8.85546875" style="33"/>
    <col min="8" max="8" width="11.140625" style="33" bestFit="1" customWidth="1"/>
    <col min="9" max="9" width="11.7109375" style="33" customWidth="1"/>
    <col min="10" max="10" width="12.7109375" style="33" bestFit="1" customWidth="1"/>
    <col min="11" max="16384" width="8.85546875" style="33"/>
  </cols>
  <sheetData>
    <row r="2" spans="1:5">
      <c r="A2" s="4"/>
      <c r="B2" s="90" t="s">
        <v>3</v>
      </c>
      <c r="D2" s="4"/>
      <c r="E2" s="4"/>
    </row>
    <row r="3" spans="1:5">
      <c r="A3" s="4"/>
      <c r="B3" s="90" t="s">
        <v>60</v>
      </c>
      <c r="D3" s="4"/>
      <c r="E3" s="4"/>
    </row>
    <row r="4" spans="1:5">
      <c r="A4" s="4"/>
      <c r="B4" s="33"/>
      <c r="D4" s="4"/>
      <c r="E4" s="4"/>
    </row>
    <row r="5" spans="1:5">
      <c r="A5" s="43" t="s">
        <v>128</v>
      </c>
      <c r="B5" s="90" t="s">
        <v>583</v>
      </c>
      <c r="D5" s="4"/>
      <c r="E5" s="4"/>
    </row>
    <row r="6" spans="1:5" ht="13.5" thickBot="1">
      <c r="A6" s="4"/>
      <c r="B6" s="22"/>
      <c r="C6" s="4"/>
      <c r="D6" s="4"/>
      <c r="E6" s="4"/>
    </row>
    <row r="7" spans="1:5" ht="25.5">
      <c r="A7" s="1505" t="s">
        <v>2</v>
      </c>
      <c r="B7" s="451" t="s">
        <v>88</v>
      </c>
      <c r="C7" s="1507" t="s">
        <v>26</v>
      </c>
      <c r="D7" s="6" t="s">
        <v>200</v>
      </c>
      <c r="E7" s="7" t="s">
        <v>28</v>
      </c>
    </row>
    <row r="8" spans="1:5">
      <c r="A8" s="1506"/>
      <c r="B8" s="452"/>
      <c r="C8" s="1508"/>
      <c r="D8" s="10" t="s">
        <v>7</v>
      </c>
      <c r="E8" s="11" t="s">
        <v>7</v>
      </c>
    </row>
    <row r="9" spans="1:5" ht="16.149999999999999" customHeight="1">
      <c r="A9" s="513" t="s">
        <v>783</v>
      </c>
      <c r="B9" s="181">
        <v>30.2</v>
      </c>
      <c r="C9" s="512" t="s">
        <v>784</v>
      </c>
      <c r="D9" s="78"/>
      <c r="E9" s="433"/>
    </row>
    <row r="10" spans="1:5">
      <c r="A10" s="177" t="s">
        <v>233</v>
      </c>
      <c r="B10" s="181" t="s">
        <v>234</v>
      </c>
      <c r="C10" s="349" t="s">
        <v>639</v>
      </c>
      <c r="D10" s="195"/>
      <c r="E10" s="252"/>
    </row>
    <row r="11" spans="1:5">
      <c r="A11" s="177"/>
      <c r="B11" s="181"/>
      <c r="C11" s="434" t="s">
        <v>640</v>
      </c>
      <c r="D11" s="195"/>
      <c r="E11" s="252"/>
    </row>
    <row r="12" spans="1:5">
      <c r="A12" s="177"/>
      <c r="B12" s="181"/>
      <c r="C12" s="434" t="s">
        <v>641</v>
      </c>
      <c r="D12" s="195"/>
      <c r="E12" s="252"/>
    </row>
    <row r="13" spans="1:5">
      <c r="A13" s="177"/>
      <c r="B13" s="181"/>
      <c r="C13" s="434" t="s">
        <v>642</v>
      </c>
      <c r="D13" s="200"/>
      <c r="E13" s="254"/>
    </row>
    <row r="14" spans="1:5">
      <c r="A14" s="177"/>
      <c r="B14" s="181"/>
      <c r="C14" s="349"/>
      <c r="D14" s="193"/>
      <c r="E14" s="251"/>
    </row>
    <row r="15" spans="1:5" ht="51">
      <c r="A15" s="177"/>
      <c r="B15" s="181" t="s">
        <v>235</v>
      </c>
      <c r="C15" s="292" t="s">
        <v>236</v>
      </c>
      <c r="D15" s="221"/>
      <c r="E15" s="373"/>
    </row>
    <row r="16" spans="1:5" ht="13.5" thickBot="1">
      <c r="A16" s="39"/>
      <c r="B16" s="183"/>
      <c r="C16" s="184"/>
      <c r="D16" s="304"/>
      <c r="E16" s="305"/>
    </row>
  </sheetData>
  <mergeCells count="2">
    <mergeCell ref="A7:A8"/>
    <mergeCell ref="C7:C8"/>
  </mergeCells>
  <pageMargins left="0.5" right="0.5" top="0.5" bottom="0.5" header="0.5" footer="0.5"/>
  <pageSetup scale="77"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45">
    <pageSetUpPr fitToPage="1"/>
  </sheetPr>
  <dimension ref="A2:E27"/>
  <sheetViews>
    <sheetView showGridLines="0" topLeftCell="A12" zoomScaleSheetLayoutView="75" workbookViewId="0">
      <selection activeCell="D23" sqref="D23"/>
    </sheetView>
  </sheetViews>
  <sheetFormatPr defaultColWidth="8.85546875" defaultRowHeight="12.75"/>
  <cols>
    <col min="1" max="1" width="11.85546875" style="33" bestFit="1" customWidth="1"/>
    <col min="2" max="2" width="8.85546875" style="186"/>
    <col min="3" max="3" width="83.140625" style="33" customWidth="1"/>
    <col min="4" max="4" width="14.7109375" style="33" customWidth="1"/>
    <col min="5" max="5" width="15.5703125" style="33" customWidth="1"/>
    <col min="6" max="6" width="11.42578125" style="33" bestFit="1" customWidth="1"/>
    <col min="7" max="7" width="8.85546875" style="33"/>
    <col min="8" max="8" width="11.140625" style="33" bestFit="1" customWidth="1"/>
    <col min="9" max="9" width="11.7109375" style="33" customWidth="1"/>
    <col min="10" max="10" width="12.7109375" style="33" bestFit="1" customWidth="1"/>
    <col min="11" max="16384" width="8.85546875" style="33"/>
  </cols>
  <sheetData>
    <row r="2" spans="1:5">
      <c r="A2" s="4"/>
      <c r="B2" s="90" t="s">
        <v>3</v>
      </c>
      <c r="D2" s="4"/>
      <c r="E2" s="4"/>
    </row>
    <row r="3" spans="1:5">
      <c r="A3" s="4"/>
      <c r="B3" s="90" t="s">
        <v>60</v>
      </c>
      <c r="D3" s="4"/>
      <c r="E3" s="4"/>
    </row>
    <row r="4" spans="1:5">
      <c r="A4" s="4"/>
      <c r="B4" s="33"/>
      <c r="D4" s="4"/>
      <c r="E4" s="4"/>
    </row>
    <row r="5" spans="1:5">
      <c r="A5" s="43" t="s">
        <v>128</v>
      </c>
      <c r="B5" s="90" t="s">
        <v>583</v>
      </c>
      <c r="D5" s="4"/>
      <c r="E5" s="4"/>
    </row>
    <row r="6" spans="1:5" ht="13.5" thickBot="1">
      <c r="A6" s="4"/>
      <c r="B6" s="22"/>
      <c r="C6" s="4"/>
      <c r="D6" s="4"/>
      <c r="E6" s="4"/>
    </row>
    <row r="7" spans="1:5" ht="14.45" customHeight="1">
      <c r="A7" s="1505" t="s">
        <v>2</v>
      </c>
      <c r="B7" s="451" t="s">
        <v>88</v>
      </c>
      <c r="C7" s="1484" t="s">
        <v>26</v>
      </c>
      <c r="D7" s="1485"/>
      <c r="E7" s="1486"/>
    </row>
    <row r="8" spans="1:5">
      <c r="A8" s="1506"/>
      <c r="B8" s="117"/>
      <c r="C8" s="1487"/>
      <c r="D8" s="1488"/>
      <c r="E8" s="1489"/>
    </row>
    <row r="9" spans="1:5">
      <c r="A9" s="516" t="s">
        <v>785</v>
      </c>
      <c r="B9" s="181">
        <v>30.3</v>
      </c>
      <c r="C9" s="28" t="s">
        <v>786</v>
      </c>
      <c r="D9" s="511"/>
      <c r="E9" s="515"/>
    </row>
    <row r="10" spans="1:5">
      <c r="A10" s="516"/>
      <c r="B10" s="181"/>
      <c r="C10" s="514"/>
      <c r="D10" s="511"/>
      <c r="E10" s="515"/>
    </row>
    <row r="11" spans="1:5" ht="114.6" customHeight="1">
      <c r="A11" s="177" t="s">
        <v>237</v>
      </c>
      <c r="B11" s="181"/>
      <c r="C11" s="1509" t="s">
        <v>788</v>
      </c>
      <c r="D11" s="1510"/>
      <c r="E11" s="1511"/>
    </row>
    <row r="12" spans="1:5" ht="35.25" customHeight="1">
      <c r="A12" s="177"/>
      <c r="B12" s="181"/>
      <c r="C12" s="1509" t="s">
        <v>238</v>
      </c>
      <c r="D12" s="1510"/>
      <c r="E12" s="1511"/>
    </row>
    <row r="13" spans="1:5" ht="48" customHeight="1">
      <c r="A13" s="182" t="s">
        <v>239</v>
      </c>
      <c r="B13" s="181"/>
      <c r="C13" s="1509" t="s">
        <v>622</v>
      </c>
      <c r="D13" s="1510"/>
      <c r="E13" s="1511"/>
    </row>
    <row r="14" spans="1:5" ht="31.5" customHeight="1">
      <c r="A14" s="182"/>
      <c r="B14" s="181"/>
      <c r="C14" s="349"/>
      <c r="D14" s="1445" t="s">
        <v>84</v>
      </c>
      <c r="E14" s="1446"/>
    </row>
    <row r="15" spans="1:5">
      <c r="A15" s="177"/>
      <c r="B15" s="181"/>
      <c r="C15" s="42" t="s">
        <v>240</v>
      </c>
      <c r="D15" s="63" t="s">
        <v>7</v>
      </c>
      <c r="E15" s="374" t="s">
        <v>7</v>
      </c>
    </row>
    <row r="16" spans="1:5">
      <c r="A16" s="177"/>
      <c r="B16" s="181"/>
      <c r="C16" s="42" t="s">
        <v>756</v>
      </c>
      <c r="D16" s="375" t="s">
        <v>241</v>
      </c>
      <c r="E16" s="376"/>
    </row>
    <row r="17" spans="1:5">
      <c r="A17" s="177"/>
      <c r="B17" s="181"/>
      <c r="C17" s="42" t="s">
        <v>755</v>
      </c>
      <c r="D17" s="377" t="s">
        <v>242</v>
      </c>
      <c r="E17" s="373"/>
    </row>
    <row r="18" spans="1:5">
      <c r="A18" s="177"/>
      <c r="B18" s="181"/>
      <c r="C18" s="42" t="s">
        <v>243</v>
      </c>
      <c r="D18" s="377" t="s">
        <v>244</v>
      </c>
      <c r="E18" s="373"/>
    </row>
    <row r="19" spans="1:5">
      <c r="A19" s="177"/>
      <c r="B19" s="181"/>
      <c r="C19" s="42" t="s">
        <v>245</v>
      </c>
      <c r="D19" s="378" t="s">
        <v>246</v>
      </c>
      <c r="E19" s="379" t="s">
        <v>23</v>
      </c>
    </row>
    <row r="20" spans="1:5">
      <c r="A20" s="177"/>
      <c r="B20" s="181"/>
      <c r="C20" s="42"/>
      <c r="D20" s="380"/>
      <c r="E20" s="379"/>
    </row>
    <row r="21" spans="1:5">
      <c r="A21" s="177"/>
      <c r="B21" s="181"/>
      <c r="C21" s="42" t="s">
        <v>247</v>
      </c>
      <c r="D21" s="292"/>
      <c r="E21" s="379"/>
    </row>
    <row r="22" spans="1:5">
      <c r="A22" s="177"/>
      <c r="B22" s="181"/>
      <c r="C22" s="42" t="s">
        <v>248</v>
      </c>
      <c r="D22" s="377" t="s">
        <v>249</v>
      </c>
      <c r="E22" s="379"/>
    </row>
    <row r="23" spans="1:5">
      <c r="A23" s="177"/>
      <c r="B23" s="181"/>
      <c r="C23" s="42" t="s">
        <v>250</v>
      </c>
      <c r="D23" s="378" t="s">
        <v>566</v>
      </c>
      <c r="E23" s="379" t="s">
        <v>165</v>
      </c>
    </row>
    <row r="24" spans="1:5">
      <c r="A24" s="177"/>
      <c r="B24" s="181"/>
      <c r="C24" s="42"/>
      <c r="D24" s="42"/>
      <c r="E24" s="381"/>
    </row>
    <row r="25" spans="1:5">
      <c r="A25" s="177"/>
      <c r="B25" s="181"/>
      <c r="C25" s="42" t="s">
        <v>251</v>
      </c>
      <c r="D25" s="42"/>
      <c r="E25" s="382" t="s">
        <v>567</v>
      </c>
    </row>
    <row r="26" spans="1:5">
      <c r="A26" s="177"/>
      <c r="B26" s="181"/>
      <c r="C26" s="42"/>
      <c r="D26" s="42"/>
      <c r="E26" s="293"/>
    </row>
    <row r="27" spans="1:5" ht="13.5" thickBot="1">
      <c r="A27" s="39"/>
      <c r="B27" s="183"/>
      <c r="C27" s="383"/>
      <c r="D27" s="384"/>
      <c r="E27" s="385"/>
    </row>
  </sheetData>
  <mergeCells count="6">
    <mergeCell ref="D14:E14"/>
    <mergeCell ref="A7:A8"/>
    <mergeCell ref="C11:E11"/>
    <mergeCell ref="C12:E12"/>
    <mergeCell ref="C13:E13"/>
    <mergeCell ref="C7:E8"/>
  </mergeCells>
  <pageMargins left="0.5" right="0.5" top="0.5" bottom="0.5" header="0.5" footer="0.5"/>
  <pageSetup scale="95" fitToHeight="0"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6">
    <pageSetUpPr fitToPage="1"/>
  </sheetPr>
  <dimension ref="A2:J129"/>
  <sheetViews>
    <sheetView showGridLines="0" view="pageBreakPreview" zoomScaleNormal="70" zoomScaleSheetLayoutView="100" workbookViewId="0">
      <selection activeCell="D105" sqref="D105"/>
    </sheetView>
  </sheetViews>
  <sheetFormatPr defaultColWidth="8.85546875" defaultRowHeight="12.75"/>
  <cols>
    <col min="1" max="1" width="11.85546875" style="33" bestFit="1" customWidth="1"/>
    <col min="2" max="2" width="8.85546875" style="186"/>
    <col min="3" max="3" width="47.85546875" style="33" customWidth="1"/>
    <col min="4" max="5" width="21" style="33" customWidth="1"/>
    <col min="6" max="6" width="16.28515625" style="33" customWidth="1"/>
    <col min="7" max="7" width="15.42578125" style="33" customWidth="1"/>
    <col min="8" max="8" width="18.7109375" style="33" customWidth="1"/>
    <col min="9" max="9" width="15.85546875" style="33" customWidth="1"/>
    <col min="10" max="16384" width="8.85546875" style="33"/>
  </cols>
  <sheetData>
    <row r="2" spans="1:10">
      <c r="B2" s="90" t="s">
        <v>3</v>
      </c>
    </row>
    <row r="3" spans="1:10">
      <c r="B3" s="90" t="s">
        <v>60</v>
      </c>
    </row>
    <row r="4" spans="1:10">
      <c r="B4" s="33"/>
    </row>
    <row r="5" spans="1:10">
      <c r="A5" s="43" t="s">
        <v>128</v>
      </c>
      <c r="B5" s="90" t="s">
        <v>583</v>
      </c>
    </row>
    <row r="6" spans="1:10" ht="13.5" thickBot="1"/>
    <row r="7" spans="1:10">
      <c r="A7" s="1505" t="s">
        <v>2</v>
      </c>
      <c r="B7" s="451" t="s">
        <v>88</v>
      </c>
      <c r="C7" s="187"/>
      <c r="D7" s="187"/>
      <c r="E7" s="408" t="s">
        <v>26</v>
      </c>
      <c r="F7" s="187"/>
      <c r="G7" s="187"/>
      <c r="H7" s="187"/>
      <c r="I7" s="188"/>
    </row>
    <row r="8" spans="1:10">
      <c r="A8" s="1506"/>
      <c r="B8" s="117"/>
      <c r="C8" s="270"/>
      <c r="D8" s="270"/>
      <c r="E8" s="270"/>
      <c r="F8" s="270"/>
      <c r="G8" s="270"/>
      <c r="H8" s="270"/>
      <c r="I8" s="306"/>
    </row>
    <row r="9" spans="1:10">
      <c r="A9" s="37" t="s">
        <v>789</v>
      </c>
      <c r="B9" s="181">
        <v>30.4</v>
      </c>
      <c r="C9" s="41" t="s">
        <v>252</v>
      </c>
      <c r="I9" s="36"/>
    </row>
    <row r="10" spans="1:10">
      <c r="A10" s="37" t="s">
        <v>253</v>
      </c>
      <c r="B10" s="181" t="s">
        <v>254</v>
      </c>
      <c r="C10" s="190" t="s">
        <v>64</v>
      </c>
      <c r="I10" s="36"/>
    </row>
    <row r="11" spans="1:10" ht="59.45" customHeight="1">
      <c r="A11" s="37"/>
      <c r="B11" s="181"/>
      <c r="C11" s="1509" t="s">
        <v>644</v>
      </c>
      <c r="D11" s="1510"/>
      <c r="E11" s="1510"/>
      <c r="F11" s="1510"/>
      <c r="G11" s="1510"/>
      <c r="H11" s="1510"/>
      <c r="I11" s="1511"/>
      <c r="J11" s="42"/>
    </row>
    <row r="12" spans="1:10" ht="20.25">
      <c r="A12" s="439" t="s">
        <v>634</v>
      </c>
      <c r="B12" s="440"/>
      <c r="C12" s="1537" t="s">
        <v>645</v>
      </c>
      <c r="D12" s="1538"/>
      <c r="E12" s="1538"/>
      <c r="F12" s="1538"/>
      <c r="G12" s="1538"/>
      <c r="H12" s="1538"/>
      <c r="I12" s="1539"/>
    </row>
    <row r="13" spans="1:10">
      <c r="A13" s="37" t="s">
        <v>745</v>
      </c>
      <c r="B13" s="181" t="s">
        <v>255</v>
      </c>
      <c r="C13" s="190" t="s">
        <v>65</v>
      </c>
      <c r="I13" s="36"/>
    </row>
    <row r="14" spans="1:10">
      <c r="A14" s="37"/>
      <c r="B14" s="181"/>
      <c r="C14" s="33" t="s">
        <v>608</v>
      </c>
      <c r="I14" s="36"/>
    </row>
    <row r="15" spans="1:10">
      <c r="A15" s="37"/>
      <c r="B15" s="181"/>
      <c r="C15" s="33" t="s">
        <v>256</v>
      </c>
      <c r="I15" s="36"/>
    </row>
    <row r="16" spans="1:10">
      <c r="A16" s="37"/>
      <c r="B16" s="181"/>
      <c r="C16" s="33" t="s">
        <v>757</v>
      </c>
      <c r="I16" s="36"/>
    </row>
    <row r="17" spans="1:10">
      <c r="A17" s="37"/>
      <c r="B17" s="181"/>
      <c r="C17" s="33" t="s">
        <v>643</v>
      </c>
      <c r="I17" s="36"/>
    </row>
    <row r="18" spans="1:10">
      <c r="A18" s="37"/>
      <c r="B18" s="181"/>
      <c r="C18" s="1530" t="s">
        <v>660</v>
      </c>
      <c r="D18" s="1530"/>
      <c r="E18" s="1530"/>
      <c r="F18" s="1530"/>
      <c r="G18" s="1530"/>
      <c r="H18" s="1530"/>
      <c r="I18" s="1531"/>
      <c r="J18" s="42"/>
    </row>
    <row r="19" spans="1:10">
      <c r="A19" s="37"/>
      <c r="B19" s="181"/>
      <c r="I19" s="271" t="s">
        <v>7</v>
      </c>
    </row>
    <row r="20" spans="1:10" ht="14.45" customHeight="1">
      <c r="A20" s="37"/>
      <c r="B20" s="181"/>
      <c r="C20" s="1532" t="s">
        <v>26</v>
      </c>
      <c r="D20" s="1533" t="s">
        <v>257</v>
      </c>
      <c r="E20" s="1534"/>
      <c r="F20" s="1535"/>
      <c r="G20" s="1533" t="s">
        <v>258</v>
      </c>
      <c r="H20" s="1534"/>
      <c r="I20" s="1536"/>
    </row>
    <row r="21" spans="1:10" ht="63.6" customHeight="1">
      <c r="A21" s="37"/>
      <c r="B21" s="181"/>
      <c r="C21" s="1525"/>
      <c r="D21" s="191" t="s">
        <v>259</v>
      </c>
      <c r="E21" s="191" t="s">
        <v>758</v>
      </c>
      <c r="F21" s="191" t="s">
        <v>646</v>
      </c>
      <c r="G21" s="191" t="s">
        <v>259</v>
      </c>
      <c r="H21" s="191" t="s">
        <v>758</v>
      </c>
      <c r="I21" s="191" t="s">
        <v>646</v>
      </c>
    </row>
    <row r="22" spans="1:10">
      <c r="A22" s="37" t="s">
        <v>260</v>
      </c>
      <c r="B22" s="181"/>
      <c r="C22" s="192" t="s">
        <v>261</v>
      </c>
      <c r="D22" s="193"/>
      <c r="E22" s="194"/>
      <c r="F22" s="193"/>
      <c r="G22" s="193"/>
      <c r="H22" s="193"/>
      <c r="I22" s="251"/>
    </row>
    <row r="23" spans="1:10">
      <c r="A23" s="37"/>
      <c r="B23" s="181"/>
      <c r="C23" s="195" t="s">
        <v>262</v>
      </c>
      <c r="D23" s="196"/>
      <c r="E23" s="196"/>
      <c r="F23" s="196"/>
      <c r="G23" s="195"/>
      <c r="H23" s="195"/>
      <c r="I23" s="252"/>
    </row>
    <row r="24" spans="1:10">
      <c r="A24" s="37"/>
      <c r="B24" s="181"/>
      <c r="C24" s="195" t="s">
        <v>263</v>
      </c>
      <c r="D24" s="196"/>
      <c r="E24" s="196"/>
      <c r="F24" s="196"/>
      <c r="G24" s="195"/>
      <c r="H24" s="195"/>
      <c r="I24" s="252"/>
    </row>
    <row r="25" spans="1:10">
      <c r="A25" s="37"/>
      <c r="B25" s="181"/>
      <c r="C25" s="195" t="s">
        <v>264</v>
      </c>
      <c r="D25" s="196"/>
      <c r="E25" s="196"/>
      <c r="F25" s="196"/>
      <c r="G25" s="195"/>
      <c r="H25" s="195"/>
      <c r="I25" s="252"/>
    </row>
    <row r="26" spans="1:10">
      <c r="A26" s="37"/>
      <c r="B26" s="181"/>
      <c r="C26" s="195" t="s">
        <v>759</v>
      </c>
      <c r="D26" s="196"/>
      <c r="E26" s="196"/>
      <c r="F26" s="196"/>
      <c r="G26" s="195"/>
      <c r="H26" s="195"/>
      <c r="I26" s="252"/>
    </row>
    <row r="27" spans="1:10">
      <c r="A27" s="37"/>
      <c r="B27" s="181"/>
      <c r="C27" s="195" t="s">
        <v>760</v>
      </c>
      <c r="D27" s="196"/>
      <c r="E27" s="196"/>
      <c r="F27" s="196"/>
      <c r="G27" s="195"/>
      <c r="H27" s="195"/>
      <c r="I27" s="252"/>
    </row>
    <row r="28" spans="1:10">
      <c r="A28" s="37"/>
      <c r="B28" s="181"/>
      <c r="C28" s="195" t="s">
        <v>265</v>
      </c>
      <c r="D28" s="196"/>
      <c r="E28" s="196"/>
      <c r="F28" s="196"/>
      <c r="G28" s="195"/>
      <c r="H28" s="195"/>
      <c r="I28" s="252"/>
    </row>
    <row r="29" spans="1:10">
      <c r="A29" s="37"/>
      <c r="B29" s="181"/>
      <c r="C29" s="195" t="s">
        <v>266</v>
      </c>
      <c r="D29" s="196"/>
      <c r="E29" s="196"/>
      <c r="F29" s="196"/>
      <c r="G29" s="195"/>
      <c r="H29" s="195"/>
      <c r="I29" s="252"/>
    </row>
    <row r="30" spans="1:10" ht="25.5">
      <c r="A30" s="37"/>
      <c r="B30" s="181"/>
      <c r="C30" s="197" t="s">
        <v>267</v>
      </c>
      <c r="D30" s="198"/>
      <c r="E30" s="199"/>
      <c r="F30" s="198"/>
      <c r="G30" s="200"/>
      <c r="H30" s="200"/>
      <c r="I30" s="254"/>
    </row>
    <row r="31" spans="1:10">
      <c r="A31" s="37"/>
      <c r="B31" s="181"/>
      <c r="C31" s="195"/>
      <c r="D31" s="201"/>
      <c r="E31" s="201"/>
      <c r="F31" s="201"/>
      <c r="G31" s="195"/>
      <c r="H31" s="195"/>
      <c r="I31" s="252"/>
    </row>
    <row r="32" spans="1:10">
      <c r="A32" s="37"/>
      <c r="B32" s="181"/>
      <c r="C32" s="202" t="s">
        <v>694</v>
      </c>
      <c r="D32" s="201"/>
      <c r="E32" s="201"/>
      <c r="F32" s="201"/>
      <c r="G32" s="195"/>
      <c r="H32" s="195"/>
      <c r="I32" s="252"/>
    </row>
    <row r="33" spans="1:9">
      <c r="A33" s="37"/>
      <c r="B33" s="181"/>
      <c r="C33" s="195" t="s">
        <v>268</v>
      </c>
      <c r="D33" s="196"/>
      <c r="E33" s="196"/>
      <c r="F33" s="196"/>
      <c r="G33" s="195"/>
      <c r="H33" s="195"/>
      <c r="I33" s="252"/>
    </row>
    <row r="34" spans="1:9">
      <c r="A34" s="37"/>
      <c r="B34" s="181"/>
      <c r="C34" s="200" t="s">
        <v>269</v>
      </c>
      <c r="D34" s="203"/>
      <c r="E34" s="203"/>
      <c r="F34" s="204"/>
      <c r="G34" s="200"/>
      <c r="H34" s="200"/>
      <c r="I34" s="254"/>
    </row>
    <row r="35" spans="1:9">
      <c r="A35" s="37"/>
      <c r="B35" s="181"/>
      <c r="C35" s="195"/>
      <c r="D35" s="205"/>
      <c r="E35" s="205"/>
      <c r="F35" s="205"/>
      <c r="G35" s="195"/>
      <c r="H35" s="195"/>
      <c r="I35" s="252"/>
    </row>
    <row r="36" spans="1:9" ht="15" customHeight="1">
      <c r="A36" s="37" t="s">
        <v>270</v>
      </c>
      <c r="B36" s="181"/>
      <c r="C36" s="202" t="s">
        <v>762</v>
      </c>
      <c r="D36" s="201"/>
      <c r="E36" s="201"/>
      <c r="F36" s="201"/>
      <c r="G36" s="195"/>
      <c r="H36" s="195"/>
      <c r="I36" s="252"/>
    </row>
    <row r="37" spans="1:9">
      <c r="A37" s="37" t="s">
        <v>271</v>
      </c>
      <c r="B37" s="181"/>
      <c r="C37" s="195" t="s">
        <v>272</v>
      </c>
      <c r="D37" s="196"/>
      <c r="E37" s="196"/>
      <c r="F37" s="196"/>
      <c r="G37" s="195"/>
      <c r="H37" s="195"/>
      <c r="I37" s="252"/>
    </row>
    <row r="38" spans="1:9">
      <c r="A38" s="37"/>
      <c r="B38" s="181"/>
      <c r="C38" s="195" t="s">
        <v>273</v>
      </c>
      <c r="D38" s="196"/>
      <c r="E38" s="196"/>
      <c r="F38" s="196"/>
      <c r="G38" s="195"/>
      <c r="H38" s="195"/>
      <c r="I38" s="252"/>
    </row>
    <row r="39" spans="1:9">
      <c r="A39" s="37"/>
      <c r="B39" s="181"/>
      <c r="C39" s="195" t="s">
        <v>761</v>
      </c>
      <c r="D39" s="196"/>
      <c r="E39" s="196"/>
      <c r="F39" s="196"/>
      <c r="G39" s="195"/>
      <c r="H39" s="195"/>
      <c r="I39" s="252"/>
    </row>
    <row r="40" spans="1:9">
      <c r="A40" s="37"/>
      <c r="B40" s="181"/>
      <c r="C40" s="195" t="s">
        <v>274</v>
      </c>
      <c r="D40" s="196"/>
      <c r="E40" s="196"/>
      <c r="F40" s="196"/>
      <c r="G40" s="195"/>
      <c r="H40" s="195"/>
      <c r="I40" s="252"/>
    </row>
    <row r="41" spans="1:9" ht="13.5" thickBot="1">
      <c r="A41" s="39"/>
      <c r="B41" s="189"/>
      <c r="C41" s="386" t="s">
        <v>763</v>
      </c>
      <c r="D41" s="387"/>
      <c r="E41" s="387"/>
      <c r="F41" s="387"/>
      <c r="G41" s="304"/>
      <c r="H41" s="304"/>
      <c r="I41" s="305"/>
    </row>
    <row r="42" spans="1:9">
      <c r="A42" s="43" t="s">
        <v>128</v>
      </c>
      <c r="B42" s="90" t="s">
        <v>583</v>
      </c>
      <c r="C42" s="90"/>
    </row>
    <row r="43" spans="1:9" ht="13.5" thickBot="1">
      <c r="I43" s="402" t="s">
        <v>7</v>
      </c>
    </row>
    <row r="44" spans="1:9" ht="14.45" customHeight="1">
      <c r="A44" s="1505" t="s">
        <v>2</v>
      </c>
      <c r="B44" s="451" t="s">
        <v>88</v>
      </c>
      <c r="C44" s="1524" t="s">
        <v>26</v>
      </c>
      <c r="D44" s="1526" t="s">
        <v>257</v>
      </c>
      <c r="E44" s="1527"/>
      <c r="F44" s="1528"/>
      <c r="G44" s="1526" t="s">
        <v>258</v>
      </c>
      <c r="H44" s="1527"/>
      <c r="I44" s="1529"/>
    </row>
    <row r="45" spans="1:9" ht="63.6" customHeight="1">
      <c r="A45" s="1506"/>
      <c r="B45" s="117"/>
      <c r="C45" s="1525"/>
      <c r="D45" s="191" t="s">
        <v>259</v>
      </c>
      <c r="E45" s="191" t="s">
        <v>758</v>
      </c>
      <c r="F45" s="191" t="s">
        <v>646</v>
      </c>
      <c r="G45" s="191" t="s">
        <v>259</v>
      </c>
      <c r="H45" s="191" t="s">
        <v>758</v>
      </c>
      <c r="I45" s="191" t="s">
        <v>646</v>
      </c>
    </row>
    <row r="46" spans="1:9">
      <c r="A46" s="37"/>
      <c r="B46" s="181"/>
      <c r="C46" s="195"/>
      <c r="D46" s="205"/>
      <c r="E46" s="477"/>
      <c r="F46" s="205"/>
      <c r="G46" s="195"/>
      <c r="H46" s="195"/>
      <c r="I46" s="252"/>
    </row>
    <row r="47" spans="1:9" ht="25.5">
      <c r="A47" s="37" t="s">
        <v>275</v>
      </c>
      <c r="B47" s="181"/>
      <c r="C47" s="202" t="s">
        <v>589</v>
      </c>
      <c r="D47" s="201"/>
      <c r="E47" s="201"/>
      <c r="F47" s="201"/>
      <c r="G47" s="195"/>
      <c r="H47" s="195"/>
      <c r="I47" s="252"/>
    </row>
    <row r="48" spans="1:9">
      <c r="A48" s="37"/>
      <c r="B48" s="181"/>
      <c r="C48" s="195" t="s">
        <v>623</v>
      </c>
      <c r="D48" s="196"/>
      <c r="E48" s="196"/>
      <c r="F48" s="196"/>
      <c r="G48" s="195"/>
      <c r="H48" s="195"/>
      <c r="I48" s="252"/>
    </row>
    <row r="49" spans="1:9">
      <c r="A49" s="37"/>
      <c r="B49" s="181"/>
      <c r="C49" s="195" t="s">
        <v>276</v>
      </c>
      <c r="D49" s="196"/>
      <c r="E49" s="196"/>
      <c r="F49" s="196"/>
      <c r="G49" s="195"/>
      <c r="H49" s="195"/>
      <c r="I49" s="252"/>
    </row>
    <row r="50" spans="1:9">
      <c r="A50" s="37"/>
      <c r="B50" s="181"/>
      <c r="C50" s="195" t="s">
        <v>277</v>
      </c>
      <c r="D50" s="196"/>
      <c r="E50" s="196"/>
      <c r="F50" s="196"/>
      <c r="G50" s="195"/>
      <c r="H50" s="195"/>
      <c r="I50" s="252"/>
    </row>
    <row r="51" spans="1:9">
      <c r="A51" s="37"/>
      <c r="B51" s="181"/>
      <c r="C51" s="195" t="s">
        <v>759</v>
      </c>
      <c r="D51" s="206"/>
      <c r="E51" s="206"/>
      <c r="F51" s="206"/>
      <c r="G51" s="195"/>
      <c r="H51" s="195"/>
      <c r="I51" s="252"/>
    </row>
    <row r="52" spans="1:9">
      <c r="A52" s="37"/>
      <c r="B52" s="181"/>
      <c r="C52" s="195" t="s">
        <v>760</v>
      </c>
      <c r="D52" s="206"/>
      <c r="E52" s="206"/>
      <c r="F52" s="206"/>
      <c r="G52" s="195"/>
      <c r="H52" s="195"/>
      <c r="I52" s="252"/>
    </row>
    <row r="53" spans="1:9">
      <c r="A53" s="37"/>
      <c r="B53" s="181"/>
      <c r="C53" s="195" t="s">
        <v>278</v>
      </c>
      <c r="D53" s="206"/>
      <c r="E53" s="206"/>
      <c r="F53" s="206"/>
      <c r="G53" s="195"/>
      <c r="H53" s="195"/>
      <c r="I53" s="252"/>
    </row>
    <row r="54" spans="1:9">
      <c r="A54" s="37"/>
      <c r="B54" s="181"/>
      <c r="C54" s="195" t="s">
        <v>279</v>
      </c>
      <c r="D54" s="206"/>
      <c r="E54" s="206"/>
      <c r="F54" s="206"/>
      <c r="G54" s="195"/>
      <c r="H54" s="195"/>
      <c r="I54" s="252"/>
    </row>
    <row r="55" spans="1:9">
      <c r="A55" s="37"/>
      <c r="B55" s="181"/>
      <c r="C55" s="195" t="s">
        <v>764</v>
      </c>
      <c r="D55" s="196"/>
      <c r="E55" s="196"/>
      <c r="F55" s="196"/>
      <c r="G55" s="195"/>
      <c r="H55" s="195"/>
      <c r="I55" s="252"/>
    </row>
    <row r="56" spans="1:9">
      <c r="A56" s="37"/>
      <c r="B56" s="181"/>
      <c r="C56" s="195" t="s">
        <v>265</v>
      </c>
      <c r="D56" s="206"/>
      <c r="E56" s="206"/>
      <c r="F56" s="206"/>
      <c r="G56" s="195"/>
      <c r="H56" s="195"/>
      <c r="I56" s="252"/>
    </row>
    <row r="57" spans="1:9">
      <c r="A57" s="37"/>
      <c r="B57" s="181"/>
      <c r="C57" s="195" t="s">
        <v>280</v>
      </c>
      <c r="D57" s="196"/>
      <c r="E57" s="196"/>
      <c r="F57" s="196"/>
      <c r="G57" s="195"/>
      <c r="H57" s="195"/>
      <c r="I57" s="252"/>
    </row>
    <row r="58" spans="1:9">
      <c r="A58" s="37"/>
      <c r="B58" s="181"/>
      <c r="C58" s="200" t="s">
        <v>624</v>
      </c>
      <c r="D58" s="207"/>
      <c r="E58" s="207"/>
      <c r="F58" s="207"/>
      <c r="G58" s="200"/>
      <c r="H58" s="200"/>
      <c r="I58" s="254"/>
    </row>
    <row r="59" spans="1:9">
      <c r="A59" s="37"/>
      <c r="B59" s="181"/>
      <c r="C59" s="195"/>
      <c r="D59" s="201"/>
      <c r="E59" s="201"/>
      <c r="F59" s="201"/>
      <c r="G59" s="195"/>
      <c r="H59" s="195"/>
      <c r="I59" s="252"/>
    </row>
    <row r="60" spans="1:9">
      <c r="A60" s="37" t="s">
        <v>281</v>
      </c>
      <c r="B60" s="181"/>
      <c r="C60" s="202" t="s">
        <v>590</v>
      </c>
      <c r="D60" s="201"/>
      <c r="E60" s="201"/>
      <c r="F60" s="201"/>
      <c r="G60" s="195"/>
      <c r="H60" s="195"/>
      <c r="I60" s="252"/>
    </row>
    <row r="61" spans="1:9">
      <c r="A61" s="37"/>
      <c r="B61" s="181"/>
      <c r="C61" s="195" t="s">
        <v>625</v>
      </c>
      <c r="D61" s="208"/>
      <c r="E61" s="208"/>
      <c r="F61" s="208"/>
      <c r="G61" s="195"/>
      <c r="H61" s="195"/>
      <c r="I61" s="252"/>
    </row>
    <row r="62" spans="1:9">
      <c r="A62" s="37"/>
      <c r="B62" s="181"/>
      <c r="C62" s="195" t="s">
        <v>282</v>
      </c>
      <c r="D62" s="209"/>
      <c r="E62" s="209"/>
      <c r="F62" s="208"/>
      <c r="G62" s="195"/>
      <c r="H62" s="195"/>
      <c r="I62" s="252"/>
    </row>
    <row r="63" spans="1:9">
      <c r="A63" s="37"/>
      <c r="B63" s="181"/>
      <c r="C63" s="195" t="s">
        <v>264</v>
      </c>
      <c r="D63" s="208"/>
      <c r="E63" s="208"/>
      <c r="F63" s="208"/>
      <c r="G63" s="195"/>
      <c r="H63" s="195"/>
      <c r="I63" s="252"/>
    </row>
    <row r="64" spans="1:9">
      <c r="A64" s="37"/>
      <c r="B64" s="181"/>
      <c r="C64" s="195" t="s">
        <v>283</v>
      </c>
      <c r="D64" s="208"/>
      <c r="E64" s="208"/>
      <c r="F64" s="208"/>
      <c r="G64" s="195"/>
      <c r="H64" s="195"/>
      <c r="I64" s="252"/>
    </row>
    <row r="65" spans="1:9">
      <c r="A65" s="37"/>
      <c r="B65" s="181"/>
      <c r="C65" s="195" t="s">
        <v>765</v>
      </c>
      <c r="D65" s="196"/>
      <c r="E65" s="208"/>
      <c r="F65" s="208"/>
      <c r="G65" s="195"/>
      <c r="H65" s="195"/>
      <c r="I65" s="252"/>
    </row>
    <row r="66" spans="1:9">
      <c r="A66" s="37"/>
      <c r="B66" s="181"/>
      <c r="C66" s="195" t="s">
        <v>280</v>
      </c>
      <c r="D66" s="196"/>
      <c r="E66" s="208"/>
      <c r="F66" s="208"/>
      <c r="G66" s="195"/>
      <c r="H66" s="195"/>
      <c r="I66" s="252"/>
    </row>
    <row r="67" spans="1:9">
      <c r="A67" s="37"/>
      <c r="B67" s="181"/>
      <c r="C67" s="200" t="s">
        <v>626</v>
      </c>
      <c r="D67" s="210"/>
      <c r="E67" s="210"/>
      <c r="F67" s="210"/>
      <c r="G67" s="200"/>
      <c r="H67" s="200"/>
      <c r="I67" s="254"/>
    </row>
    <row r="68" spans="1:9">
      <c r="A68" s="37"/>
      <c r="B68" s="181"/>
      <c r="C68" s="195"/>
      <c r="D68" s="211"/>
      <c r="E68" s="211"/>
      <c r="F68" s="211"/>
      <c r="G68" s="195"/>
      <c r="H68" s="195"/>
      <c r="I68" s="252"/>
    </row>
    <row r="69" spans="1:9">
      <c r="A69" s="37" t="s">
        <v>284</v>
      </c>
      <c r="B69" s="181"/>
      <c r="C69" s="200" t="s">
        <v>285</v>
      </c>
      <c r="D69" s="212"/>
      <c r="E69" s="212"/>
      <c r="F69" s="212"/>
      <c r="G69" s="200"/>
      <c r="H69" s="200"/>
      <c r="I69" s="254"/>
    </row>
    <row r="70" spans="1:9">
      <c r="A70" s="37"/>
      <c r="B70" s="181"/>
      <c r="C70" s="195"/>
      <c r="D70" s="211"/>
      <c r="E70" s="211"/>
      <c r="F70" s="211"/>
      <c r="G70" s="195"/>
      <c r="H70" s="195"/>
      <c r="I70" s="252"/>
    </row>
    <row r="71" spans="1:9">
      <c r="A71" s="37" t="s">
        <v>286</v>
      </c>
      <c r="B71" s="181"/>
      <c r="C71" s="202" t="s">
        <v>287</v>
      </c>
      <c r="D71" s="211"/>
      <c r="E71" s="211"/>
      <c r="F71" s="211"/>
      <c r="G71" s="195"/>
      <c r="H71" s="195"/>
      <c r="I71" s="252"/>
    </row>
    <row r="72" spans="1:9">
      <c r="A72" s="37"/>
      <c r="B72" s="181"/>
      <c r="C72" s="195"/>
      <c r="D72" s="195"/>
      <c r="E72" s="211"/>
      <c r="F72" s="211"/>
      <c r="G72" s="195"/>
      <c r="H72" s="195"/>
      <c r="I72" s="252"/>
    </row>
    <row r="73" spans="1:9">
      <c r="A73" s="37"/>
      <c r="B73" s="181"/>
      <c r="C73" s="195" t="s">
        <v>288</v>
      </c>
      <c r="D73" s="213"/>
      <c r="E73" s="214"/>
      <c r="F73" s="215"/>
      <c r="G73" s="195"/>
      <c r="H73" s="195"/>
      <c r="I73" s="252"/>
    </row>
    <row r="74" spans="1:9">
      <c r="A74" s="37"/>
      <c r="B74" s="181"/>
      <c r="C74" s="195" t="s">
        <v>289</v>
      </c>
      <c r="D74" s="213"/>
      <c r="E74" s="214"/>
      <c r="F74" s="215"/>
      <c r="G74" s="195"/>
      <c r="H74" s="195"/>
      <c r="I74" s="252"/>
    </row>
    <row r="75" spans="1:9">
      <c r="A75" s="37"/>
      <c r="B75" s="181"/>
      <c r="C75" s="195" t="s">
        <v>290</v>
      </c>
      <c r="D75" s="213"/>
      <c r="E75" s="214"/>
      <c r="F75" s="215"/>
      <c r="G75" s="195"/>
      <c r="H75" s="195"/>
      <c r="I75" s="252"/>
    </row>
    <row r="76" spans="1:9">
      <c r="A76" s="37"/>
      <c r="B76" s="181"/>
      <c r="C76" s="200" t="s">
        <v>79</v>
      </c>
      <c r="D76" s="216"/>
      <c r="E76" s="217"/>
      <c r="F76" s="218"/>
      <c r="G76" s="200"/>
      <c r="H76" s="200"/>
      <c r="I76" s="254"/>
    </row>
    <row r="77" spans="1:9">
      <c r="A77" s="37"/>
      <c r="B77" s="181"/>
      <c r="C77" s="195"/>
      <c r="D77" s="195"/>
      <c r="E77" s="211"/>
      <c r="F77" s="211"/>
      <c r="G77" s="195"/>
      <c r="H77" s="195"/>
      <c r="I77" s="252"/>
    </row>
    <row r="78" spans="1:9">
      <c r="A78" s="37" t="s">
        <v>291</v>
      </c>
      <c r="B78" s="181"/>
      <c r="C78" s="202" t="s">
        <v>292</v>
      </c>
      <c r="D78" s="219"/>
      <c r="E78" s="219"/>
      <c r="F78" s="219"/>
      <c r="G78" s="195"/>
      <c r="H78" s="195"/>
      <c r="I78" s="252"/>
    </row>
    <row r="79" spans="1:9">
      <c r="A79" s="37"/>
      <c r="B79" s="181"/>
      <c r="C79" s="195" t="s">
        <v>293</v>
      </c>
      <c r="D79" s="220"/>
      <c r="E79" s="220"/>
      <c r="F79" s="220"/>
      <c r="G79" s="195"/>
      <c r="H79" s="195"/>
      <c r="I79" s="252"/>
    </row>
    <row r="80" spans="1:9">
      <c r="A80" s="37" t="s">
        <v>294</v>
      </c>
      <c r="B80" s="181"/>
      <c r="C80" s="195" t="s">
        <v>264</v>
      </c>
      <c r="D80" s="220"/>
      <c r="E80" s="220"/>
      <c r="F80" s="215"/>
      <c r="G80" s="195"/>
      <c r="H80" s="195"/>
      <c r="I80" s="252"/>
    </row>
    <row r="81" spans="1:9">
      <c r="A81" s="37"/>
      <c r="B81" s="181"/>
      <c r="C81" s="221" t="s">
        <v>295</v>
      </c>
      <c r="D81" s="222"/>
      <c r="E81" s="223"/>
      <c r="F81" s="223"/>
      <c r="G81" s="195"/>
      <c r="H81" s="195"/>
      <c r="I81" s="252"/>
    </row>
    <row r="82" spans="1:9">
      <c r="A82" s="37"/>
      <c r="B82" s="181"/>
      <c r="C82" s="221" t="s">
        <v>790</v>
      </c>
      <c r="D82" s="222"/>
      <c r="E82" s="223"/>
      <c r="F82" s="223"/>
      <c r="G82" s="195"/>
      <c r="H82" s="195"/>
      <c r="I82" s="252"/>
    </row>
    <row r="83" spans="1:9">
      <c r="A83" s="37"/>
      <c r="B83" s="181"/>
      <c r="C83" s="195" t="s">
        <v>296</v>
      </c>
      <c r="D83" s="215"/>
      <c r="E83" s="215"/>
      <c r="F83" s="215"/>
      <c r="G83" s="195"/>
      <c r="H83" s="195"/>
      <c r="I83" s="252"/>
    </row>
    <row r="84" spans="1:9">
      <c r="A84" s="37"/>
      <c r="B84" s="181"/>
      <c r="C84" s="221" t="s">
        <v>297</v>
      </c>
      <c r="D84" s="222"/>
      <c r="E84" s="222"/>
      <c r="F84" s="222"/>
      <c r="G84" s="195"/>
      <c r="H84" s="195"/>
      <c r="I84" s="252"/>
    </row>
    <row r="85" spans="1:9" ht="15" customHeight="1">
      <c r="A85" s="37"/>
      <c r="B85" s="181"/>
      <c r="C85" s="224" t="s">
        <v>298</v>
      </c>
      <c r="D85" s="364"/>
      <c r="E85" s="364"/>
      <c r="F85" s="364"/>
      <c r="G85" s="200"/>
      <c r="H85" s="200"/>
      <c r="I85" s="254"/>
    </row>
    <row r="86" spans="1:9" ht="31.15" customHeight="1" thickBot="1">
      <c r="A86" s="39" t="s">
        <v>299</v>
      </c>
      <c r="B86" s="189"/>
      <c r="C86" s="399" t="s">
        <v>300</v>
      </c>
      <c r="D86" s="304"/>
      <c r="E86" s="304"/>
      <c r="F86" s="304"/>
      <c r="G86" s="304"/>
      <c r="H86" s="304"/>
      <c r="I86" s="305"/>
    </row>
    <row r="87" spans="1:9">
      <c r="A87" s="43" t="s">
        <v>128</v>
      </c>
      <c r="B87" s="90" t="s">
        <v>583</v>
      </c>
      <c r="C87" s="90"/>
    </row>
    <row r="88" spans="1:9" ht="13.5" thickBot="1">
      <c r="A88" s="43"/>
      <c r="C88" s="90"/>
    </row>
    <row r="89" spans="1:9" ht="14.45" customHeight="1">
      <c r="A89" s="478" t="s">
        <v>2</v>
      </c>
      <c r="B89" s="479" t="s">
        <v>88</v>
      </c>
      <c r="C89" s="1521" t="s">
        <v>26</v>
      </c>
      <c r="D89" s="1522"/>
      <c r="E89" s="1522"/>
      <c r="F89" s="1522"/>
      <c r="G89" s="1522"/>
      <c r="H89" s="1522"/>
      <c r="I89" s="1523"/>
    </row>
    <row r="90" spans="1:9">
      <c r="A90" s="37" t="s">
        <v>294</v>
      </c>
      <c r="B90" s="181"/>
      <c r="C90" s="1516" t="s">
        <v>609</v>
      </c>
      <c r="D90" s="1514"/>
      <c r="E90" s="1514"/>
      <c r="F90" s="1514"/>
      <c r="G90" s="1514"/>
      <c r="H90" s="1514"/>
      <c r="I90" s="1515"/>
    </row>
    <row r="91" spans="1:9">
      <c r="A91" s="37" t="s">
        <v>291</v>
      </c>
      <c r="B91" s="181"/>
      <c r="C91" s="1516" t="s">
        <v>578</v>
      </c>
      <c r="D91" s="1514"/>
      <c r="E91" s="1514"/>
      <c r="F91" s="1514"/>
      <c r="G91" s="1514"/>
      <c r="H91" s="1514"/>
      <c r="I91" s="1515"/>
    </row>
    <row r="92" spans="1:9">
      <c r="A92" s="37"/>
      <c r="B92" s="181"/>
      <c r="I92" s="36"/>
    </row>
    <row r="93" spans="1:9" ht="13.15" customHeight="1">
      <c r="A93" s="37"/>
      <c r="B93" s="181"/>
      <c r="C93" s="1517" t="s">
        <v>301</v>
      </c>
      <c r="D93" s="1519" t="s">
        <v>302</v>
      </c>
      <c r="E93" s="1520"/>
      <c r="F93" s="1519" t="s">
        <v>303</v>
      </c>
      <c r="G93" s="1520"/>
      <c r="I93" s="36"/>
    </row>
    <row r="94" spans="1:9" ht="31.15" customHeight="1">
      <c r="A94" s="37" t="s">
        <v>304</v>
      </c>
      <c r="B94" s="181"/>
      <c r="C94" s="1518"/>
      <c r="D94" s="347" t="s">
        <v>305</v>
      </c>
      <c r="E94" s="347" t="s">
        <v>306</v>
      </c>
      <c r="F94" s="347" t="s">
        <v>305</v>
      </c>
      <c r="G94" s="347" t="s">
        <v>306</v>
      </c>
      <c r="I94" s="36"/>
    </row>
    <row r="95" spans="1:9">
      <c r="A95" s="37"/>
      <c r="B95" s="181"/>
      <c r="C95" s="225"/>
      <c r="D95" s="226"/>
      <c r="E95" s="226"/>
      <c r="F95" s="226"/>
      <c r="G95" s="226"/>
      <c r="I95" s="36"/>
    </row>
    <row r="96" spans="1:9">
      <c r="A96" s="37"/>
      <c r="B96" s="181"/>
      <c r="C96" s="227" t="s">
        <v>720</v>
      </c>
      <c r="D96" s="227"/>
      <c r="E96" s="227"/>
      <c r="F96" s="227"/>
      <c r="G96" s="227"/>
      <c r="I96" s="36"/>
    </row>
    <row r="97" spans="1:9">
      <c r="A97" s="37"/>
      <c r="B97" s="181"/>
      <c r="C97" s="228" t="s">
        <v>721</v>
      </c>
      <c r="D97" s="229"/>
      <c r="E97" s="229"/>
      <c r="F97" s="229"/>
      <c r="G97" s="229"/>
      <c r="I97" s="36"/>
    </row>
    <row r="98" spans="1:9">
      <c r="A98" s="37"/>
      <c r="B98" s="181"/>
      <c r="C98" s="20"/>
      <c r="D98" s="124"/>
      <c r="E98" s="124"/>
      <c r="F98" s="124"/>
      <c r="G98" s="124"/>
      <c r="I98" s="36"/>
    </row>
    <row r="99" spans="1:9">
      <c r="A99" s="37" t="s">
        <v>307</v>
      </c>
      <c r="B99" s="181"/>
      <c r="C99" s="397" t="s">
        <v>308</v>
      </c>
      <c r="D99" s="398"/>
      <c r="E99" s="398"/>
      <c r="F99" s="398"/>
      <c r="G99" s="398"/>
      <c r="H99" s="535" t="s">
        <v>7</v>
      </c>
      <c r="I99" s="36"/>
    </row>
    <row r="100" spans="1:9">
      <c r="A100" s="37"/>
      <c r="B100" s="181"/>
      <c r="C100" s="230"/>
      <c r="D100" s="351" t="s">
        <v>309</v>
      </c>
      <c r="E100" s="351" t="s">
        <v>310</v>
      </c>
      <c r="F100" s="351" t="s">
        <v>311</v>
      </c>
      <c r="G100" s="351" t="s">
        <v>312</v>
      </c>
      <c r="H100" s="351" t="s">
        <v>570</v>
      </c>
      <c r="I100" s="36"/>
    </row>
    <row r="101" spans="1:9">
      <c r="A101" s="37"/>
      <c r="B101" s="181"/>
      <c r="C101" s="230" t="s">
        <v>259</v>
      </c>
      <c r="D101" s="505"/>
      <c r="E101" s="505"/>
      <c r="F101" s="505"/>
      <c r="G101" s="505"/>
      <c r="H101" s="505"/>
      <c r="I101" s="36"/>
    </row>
    <row r="102" spans="1:9">
      <c r="A102" s="37"/>
      <c r="B102" s="181"/>
      <c r="C102" s="231" t="s">
        <v>313</v>
      </c>
      <c r="D102" s="232"/>
      <c r="E102" s="232"/>
      <c r="F102" s="232"/>
      <c r="G102" s="232"/>
      <c r="H102" s="232"/>
      <c r="I102" s="36"/>
    </row>
    <row r="103" spans="1:9">
      <c r="A103" s="37"/>
      <c r="B103" s="181"/>
      <c r="C103" s="233" t="s">
        <v>273</v>
      </c>
      <c r="D103" s="234"/>
      <c r="E103" s="234"/>
      <c r="F103" s="234"/>
      <c r="G103" s="234"/>
      <c r="H103" s="234"/>
      <c r="I103" s="36"/>
    </row>
    <row r="104" spans="1:9">
      <c r="A104" s="37"/>
      <c r="B104" s="181"/>
      <c r="C104" s="233" t="s">
        <v>761</v>
      </c>
      <c r="D104" s="234"/>
      <c r="E104" s="234"/>
      <c r="F104" s="234"/>
      <c r="G104" s="234"/>
      <c r="H104" s="234"/>
      <c r="I104" s="36"/>
    </row>
    <row r="105" spans="1:9">
      <c r="A105" s="37"/>
      <c r="B105" s="181"/>
      <c r="C105" s="235" t="s">
        <v>766</v>
      </c>
      <c r="D105" s="234"/>
      <c r="E105" s="234"/>
      <c r="F105" s="234"/>
      <c r="G105" s="234"/>
      <c r="H105" s="234"/>
      <c r="I105" s="36"/>
    </row>
    <row r="106" spans="1:9">
      <c r="A106" s="37"/>
      <c r="B106" s="181"/>
      <c r="C106" s="236" t="s">
        <v>767</v>
      </c>
      <c r="D106" s="237"/>
      <c r="E106" s="237"/>
      <c r="F106" s="237"/>
      <c r="G106" s="237"/>
      <c r="H106" s="237"/>
      <c r="I106" s="36"/>
    </row>
    <row r="107" spans="1:9" ht="12.75" customHeight="1">
      <c r="A107" s="37"/>
      <c r="B107" s="181"/>
      <c r="C107" s="230" t="s">
        <v>768</v>
      </c>
      <c r="D107" s="505"/>
      <c r="E107" s="505"/>
      <c r="F107" s="505"/>
      <c r="G107" s="505"/>
      <c r="H107" s="505"/>
      <c r="I107" s="36"/>
    </row>
    <row r="108" spans="1:9">
      <c r="A108" s="37"/>
      <c r="B108" s="181"/>
      <c r="C108" s="231" t="s">
        <v>313</v>
      </c>
      <c r="D108" s="232"/>
      <c r="E108" s="232"/>
      <c r="F108" s="232"/>
      <c r="G108" s="232"/>
      <c r="H108" s="232"/>
      <c r="I108" s="36"/>
    </row>
    <row r="109" spans="1:9">
      <c r="A109" s="37"/>
      <c r="B109" s="181"/>
      <c r="C109" s="233" t="s">
        <v>273</v>
      </c>
      <c r="D109" s="234"/>
      <c r="E109" s="234"/>
      <c r="F109" s="234"/>
      <c r="G109" s="234"/>
      <c r="H109" s="234"/>
      <c r="I109" s="36"/>
    </row>
    <row r="110" spans="1:9">
      <c r="A110" s="37"/>
      <c r="B110" s="181"/>
      <c r="C110" s="233" t="s">
        <v>761</v>
      </c>
      <c r="D110" s="234"/>
      <c r="E110" s="234"/>
      <c r="F110" s="234"/>
      <c r="G110" s="234"/>
      <c r="H110" s="234"/>
      <c r="I110" s="36"/>
    </row>
    <row r="111" spans="1:9">
      <c r="A111" s="37"/>
      <c r="B111" s="181"/>
      <c r="C111" s="235" t="s">
        <v>766</v>
      </c>
      <c r="D111" s="234"/>
      <c r="E111" s="234"/>
      <c r="F111" s="234"/>
      <c r="G111" s="234"/>
      <c r="H111" s="234"/>
      <c r="I111" s="36"/>
    </row>
    <row r="112" spans="1:9">
      <c r="A112" s="37"/>
      <c r="B112" s="181"/>
      <c r="C112" s="236" t="s">
        <v>767</v>
      </c>
      <c r="D112" s="237"/>
      <c r="E112" s="237"/>
      <c r="F112" s="237"/>
      <c r="G112" s="237"/>
      <c r="H112" s="237"/>
      <c r="I112" s="36"/>
    </row>
    <row r="113" spans="1:9">
      <c r="A113" s="37"/>
      <c r="B113" s="181"/>
      <c r="C113" s="230" t="s">
        <v>646</v>
      </c>
      <c r="D113" s="505"/>
      <c r="E113" s="505"/>
      <c r="F113" s="505"/>
      <c r="G113" s="505"/>
      <c r="H113" s="505"/>
      <c r="I113" s="36"/>
    </row>
    <row r="114" spans="1:9">
      <c r="A114" s="37"/>
      <c r="B114" s="181"/>
      <c r="C114" s="231" t="s">
        <v>313</v>
      </c>
      <c r="D114" s="232"/>
      <c r="E114" s="232"/>
      <c r="F114" s="232"/>
      <c r="G114" s="232"/>
      <c r="H114" s="232"/>
      <c r="I114" s="36"/>
    </row>
    <row r="115" spans="1:9">
      <c r="A115" s="37"/>
      <c r="B115" s="181"/>
      <c r="C115" s="233" t="s">
        <v>273</v>
      </c>
      <c r="D115" s="234"/>
      <c r="E115" s="234"/>
      <c r="F115" s="234"/>
      <c r="G115" s="234"/>
      <c r="H115" s="234"/>
      <c r="I115" s="36"/>
    </row>
    <row r="116" spans="1:9">
      <c r="A116" s="37"/>
      <c r="B116" s="181"/>
      <c r="C116" s="233" t="s">
        <v>761</v>
      </c>
      <c r="D116" s="234"/>
      <c r="E116" s="234"/>
      <c r="F116" s="234"/>
      <c r="G116" s="234"/>
      <c r="H116" s="234"/>
      <c r="I116" s="36"/>
    </row>
    <row r="117" spans="1:9">
      <c r="A117" s="37"/>
      <c r="B117" s="181"/>
      <c r="C117" s="235" t="s">
        <v>766</v>
      </c>
      <c r="D117" s="234"/>
      <c r="E117" s="234"/>
      <c r="F117" s="234"/>
      <c r="G117" s="234"/>
      <c r="H117" s="234"/>
      <c r="I117" s="36"/>
    </row>
    <row r="118" spans="1:9">
      <c r="A118" s="37"/>
      <c r="B118" s="181"/>
      <c r="C118" s="236" t="s">
        <v>767</v>
      </c>
      <c r="D118" s="237"/>
      <c r="E118" s="237"/>
      <c r="F118" s="237"/>
      <c r="G118" s="237"/>
      <c r="H118" s="237"/>
      <c r="I118" s="36"/>
    </row>
    <row r="119" spans="1:9">
      <c r="A119" s="37"/>
      <c r="B119" s="181"/>
      <c r="C119" s="239"/>
      <c r="D119" s="240"/>
      <c r="E119" s="240"/>
      <c r="F119" s="240"/>
      <c r="G119" s="240"/>
      <c r="I119" s="36"/>
    </row>
    <row r="120" spans="1:9" ht="25.5">
      <c r="A120" s="37"/>
      <c r="B120" s="181"/>
      <c r="C120" s="241"/>
      <c r="D120" s="87" t="s">
        <v>200</v>
      </c>
      <c r="E120" s="87" t="s">
        <v>28</v>
      </c>
      <c r="F120" s="238"/>
      <c r="G120" s="238"/>
      <c r="I120" s="36"/>
    </row>
    <row r="121" spans="1:9" ht="25.5">
      <c r="A121" s="37"/>
      <c r="B121" s="181"/>
      <c r="C121" s="202" t="s">
        <v>627</v>
      </c>
      <c r="D121" s="219"/>
      <c r="E121" s="219"/>
      <c r="F121" s="242"/>
      <c r="I121" s="36"/>
    </row>
    <row r="122" spans="1:9">
      <c r="A122" s="37"/>
      <c r="B122" s="181"/>
      <c r="C122" s="195" t="s">
        <v>293</v>
      </c>
      <c r="D122" s="220"/>
      <c r="E122" s="220"/>
      <c r="F122" s="243"/>
      <c r="I122" s="36"/>
    </row>
    <row r="123" spans="1:9">
      <c r="A123" s="37"/>
      <c r="B123" s="181"/>
      <c r="C123" s="195" t="s">
        <v>264</v>
      </c>
      <c r="D123" s="220"/>
      <c r="E123" s="220"/>
      <c r="F123" s="244"/>
      <c r="I123" s="36"/>
    </row>
    <row r="124" spans="1:9">
      <c r="A124" s="37"/>
      <c r="B124" s="181"/>
      <c r="C124" s="221" t="s">
        <v>295</v>
      </c>
      <c r="D124" s="222"/>
      <c r="E124" s="223"/>
      <c r="F124" s="245"/>
      <c r="I124" s="36"/>
    </row>
    <row r="125" spans="1:9">
      <c r="A125" s="37"/>
      <c r="B125" s="181"/>
      <c r="C125" s="221" t="s">
        <v>791</v>
      </c>
      <c r="D125" s="222"/>
      <c r="E125" s="222"/>
      <c r="F125" s="246"/>
      <c r="I125" s="36"/>
    </row>
    <row r="126" spans="1:9">
      <c r="A126" s="37"/>
      <c r="B126" s="181"/>
      <c r="C126" s="1512" t="s">
        <v>609</v>
      </c>
      <c r="D126" s="1513"/>
      <c r="E126" s="1513"/>
      <c r="F126" s="1514"/>
      <c r="G126" s="1514"/>
      <c r="H126" s="1514"/>
      <c r="I126" s="1515"/>
    </row>
    <row r="127" spans="1:9">
      <c r="A127" s="37"/>
      <c r="B127" s="181"/>
      <c r="C127" s="1516" t="s">
        <v>578</v>
      </c>
      <c r="D127" s="1514"/>
      <c r="E127" s="1514"/>
      <c r="F127" s="1514"/>
      <c r="G127" s="1514"/>
      <c r="H127" s="1514"/>
      <c r="I127" s="1515"/>
    </row>
    <row r="128" spans="1:9">
      <c r="A128" s="37"/>
      <c r="B128" s="181"/>
      <c r="C128" s="247"/>
      <c r="D128" s="238"/>
      <c r="E128" s="238"/>
      <c r="F128" s="238"/>
      <c r="G128" s="238"/>
      <c r="I128" s="36"/>
    </row>
    <row r="129" spans="1:9" ht="13.5" thickBot="1">
      <c r="A129" s="39"/>
      <c r="B129" s="189"/>
      <c r="C129" s="248"/>
      <c r="D129" s="249"/>
      <c r="E129" s="249"/>
      <c r="F129" s="249"/>
      <c r="G129" s="249"/>
      <c r="H129" s="185"/>
      <c r="I129" s="40"/>
    </row>
  </sheetData>
  <mergeCells count="19">
    <mergeCell ref="C89:I89"/>
    <mergeCell ref="C44:C45"/>
    <mergeCell ref="D44:F44"/>
    <mergeCell ref="G44:I44"/>
    <mergeCell ref="A7:A8"/>
    <mergeCell ref="C18:I18"/>
    <mergeCell ref="C20:C21"/>
    <mergeCell ref="D20:F20"/>
    <mergeCell ref="G20:I20"/>
    <mergeCell ref="C11:I11"/>
    <mergeCell ref="A44:A45"/>
    <mergeCell ref="C12:I12"/>
    <mergeCell ref="C126:I126"/>
    <mergeCell ref="C127:I127"/>
    <mergeCell ref="C90:I90"/>
    <mergeCell ref="C91:I91"/>
    <mergeCell ref="C93:C94"/>
    <mergeCell ref="D93:E93"/>
    <mergeCell ref="F93:G93"/>
  </mergeCells>
  <pageMargins left="0.5" right="0.5" top="0.5" bottom="0.5" header="0.5" footer="0.5"/>
  <pageSetup scale="72" fitToHeight="0" orientation="landscape" r:id="rId1"/>
  <headerFooter alignWithMargins="0"/>
  <rowBreaks count="2" manualBreakCount="2">
    <brk id="41" max="16383" man="1"/>
    <brk id="86"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7">
    <pageSetUpPr fitToPage="1"/>
  </sheetPr>
  <dimension ref="A2:E14"/>
  <sheetViews>
    <sheetView showGridLines="0" view="pageBreakPreview" zoomScaleNormal="70" zoomScaleSheetLayoutView="100" workbookViewId="0">
      <selection activeCell="C9" sqref="C9"/>
    </sheetView>
  </sheetViews>
  <sheetFormatPr defaultColWidth="8.85546875" defaultRowHeight="12.75"/>
  <cols>
    <col min="1" max="1" width="11.85546875" style="33" bestFit="1" customWidth="1"/>
    <col min="2" max="2" width="8.85546875" style="186"/>
    <col min="3" max="3" width="40.85546875" style="33" customWidth="1"/>
    <col min="4" max="4" width="20.28515625" style="33" customWidth="1"/>
    <col min="5" max="5" width="22.42578125" style="33" customWidth="1"/>
    <col min="6" max="6" width="11.7109375" style="33" customWidth="1"/>
    <col min="7" max="7" width="12.7109375" style="33" bestFit="1" customWidth="1"/>
    <col min="8" max="16384" width="8.85546875" style="33"/>
  </cols>
  <sheetData>
    <row r="2" spans="1:5">
      <c r="A2" s="4"/>
      <c r="B2" s="90" t="s">
        <v>3</v>
      </c>
    </row>
    <row r="3" spans="1:5">
      <c r="A3" s="4"/>
      <c r="B3" s="90" t="s">
        <v>60</v>
      </c>
    </row>
    <row r="4" spans="1:5">
      <c r="A4" s="4"/>
      <c r="B4" s="33"/>
    </row>
    <row r="5" spans="1:5">
      <c r="A5" s="43" t="s">
        <v>128</v>
      </c>
      <c r="B5" s="90" t="s">
        <v>583</v>
      </c>
    </row>
    <row r="6" spans="1:5" ht="13.5" thickBot="1">
      <c r="A6" s="4"/>
      <c r="B6" s="22"/>
      <c r="C6" s="4"/>
    </row>
    <row r="7" spans="1:5" ht="25.5">
      <c r="A7" s="1505" t="s">
        <v>2</v>
      </c>
      <c r="B7" s="451" t="s">
        <v>88</v>
      </c>
      <c r="C7" s="1485" t="s">
        <v>26</v>
      </c>
      <c r="D7" s="6" t="s">
        <v>200</v>
      </c>
      <c r="E7" s="7" t="s">
        <v>28</v>
      </c>
    </row>
    <row r="8" spans="1:5">
      <c r="A8" s="1506"/>
      <c r="B8" s="117"/>
      <c r="C8" s="1488"/>
      <c r="D8" s="10" t="s">
        <v>7</v>
      </c>
      <c r="E8" s="11" t="s">
        <v>7</v>
      </c>
    </row>
    <row r="9" spans="1:5">
      <c r="A9" s="513" t="s">
        <v>792</v>
      </c>
      <c r="B9" s="181">
        <v>30.5</v>
      </c>
      <c r="C9" s="512" t="s">
        <v>793</v>
      </c>
      <c r="D9" s="62"/>
      <c r="E9" s="517"/>
    </row>
    <row r="10" spans="1:5">
      <c r="A10" s="177" t="s">
        <v>314</v>
      </c>
      <c r="B10" s="181"/>
      <c r="C10" s="33" t="s">
        <v>315</v>
      </c>
      <c r="D10" s="195"/>
      <c r="E10" s="36"/>
    </row>
    <row r="11" spans="1:5" ht="25.5">
      <c r="A11" s="177"/>
      <c r="B11" s="181"/>
      <c r="C11" s="418" t="s">
        <v>769</v>
      </c>
      <c r="D11" s="195"/>
      <c r="E11" s="36"/>
    </row>
    <row r="12" spans="1:5">
      <c r="A12" s="177"/>
      <c r="B12" s="181"/>
      <c r="C12" s="394" t="s">
        <v>746</v>
      </c>
      <c r="D12" s="195"/>
      <c r="E12" s="36"/>
    </row>
    <row r="13" spans="1:5">
      <c r="A13" s="177"/>
      <c r="B13" s="181"/>
      <c r="C13" s="253"/>
      <c r="D13" s="200"/>
      <c r="E13" s="306"/>
    </row>
    <row r="14" spans="1:5" ht="13.5" thickBot="1">
      <c r="A14" s="39"/>
      <c r="B14" s="262"/>
      <c r="C14" s="184"/>
      <c r="D14" s="304"/>
      <c r="E14" s="40"/>
    </row>
  </sheetData>
  <mergeCells count="2">
    <mergeCell ref="A7:A8"/>
    <mergeCell ref="C7:C8"/>
  </mergeCells>
  <pageMargins left="0.5" right="0.5" top="0.5" bottom="0.5" header="0.5" footer="0.5"/>
  <pageSetup scale="91"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8">
    <pageSetUpPr fitToPage="1"/>
  </sheetPr>
  <dimension ref="A2:G90"/>
  <sheetViews>
    <sheetView showGridLines="0" view="pageBreakPreview" zoomScaleNormal="70" zoomScaleSheetLayoutView="100" workbookViewId="0">
      <selection activeCell="A38" sqref="A38:G70"/>
    </sheetView>
  </sheetViews>
  <sheetFormatPr defaultColWidth="8.85546875" defaultRowHeight="12.75"/>
  <cols>
    <col min="1" max="1" width="10.5703125" style="33" customWidth="1"/>
    <col min="2" max="2" width="7.42578125" style="186" customWidth="1"/>
    <col min="3" max="3" width="53.42578125" style="33" bestFit="1" customWidth="1"/>
    <col min="4" max="4" width="14" style="33" customWidth="1"/>
    <col min="5" max="5" width="14.42578125" style="33" customWidth="1"/>
    <col min="6" max="6" width="18.7109375" style="33" customWidth="1"/>
    <col min="7" max="7" width="19.42578125" style="33" customWidth="1"/>
    <col min="8" max="8" width="11.7109375" style="33" customWidth="1"/>
    <col min="9" max="9" width="12.7109375" style="33" bestFit="1" customWidth="1"/>
    <col min="10" max="16384" width="8.85546875" style="33"/>
  </cols>
  <sheetData>
    <row r="2" spans="1:7">
      <c r="A2" s="4"/>
      <c r="B2" s="90" t="s">
        <v>3</v>
      </c>
      <c r="D2" s="4"/>
      <c r="E2" s="4"/>
    </row>
    <row r="3" spans="1:7">
      <c r="A3" s="4"/>
      <c r="B3" s="90" t="s">
        <v>60</v>
      </c>
      <c r="D3" s="4"/>
      <c r="E3" s="4"/>
    </row>
    <row r="4" spans="1:7">
      <c r="A4" s="4"/>
      <c r="B4" s="33"/>
      <c r="D4" s="4"/>
      <c r="E4" s="4"/>
    </row>
    <row r="5" spans="1:7">
      <c r="A5" s="43" t="s">
        <v>128</v>
      </c>
      <c r="B5" s="90" t="s">
        <v>583</v>
      </c>
      <c r="D5" s="4"/>
      <c r="E5" s="4"/>
    </row>
    <row r="6" spans="1:7" ht="13.5" thickBot="1">
      <c r="A6" s="4"/>
      <c r="B6" s="22"/>
      <c r="C6" s="4"/>
      <c r="D6" s="4"/>
      <c r="E6" s="4"/>
    </row>
    <row r="7" spans="1:7" ht="14.45" customHeight="1">
      <c r="A7" s="1482" t="s">
        <v>2</v>
      </c>
      <c r="B7" s="451" t="s">
        <v>88</v>
      </c>
      <c r="C7" s="1484" t="s">
        <v>26</v>
      </c>
      <c r="D7" s="1485"/>
      <c r="E7" s="1485"/>
      <c r="F7" s="1485"/>
      <c r="G7" s="1486"/>
    </row>
    <row r="8" spans="1:7">
      <c r="A8" s="1483"/>
      <c r="B8" s="117"/>
      <c r="C8" s="1487"/>
      <c r="D8" s="1488"/>
      <c r="E8" s="1488"/>
      <c r="F8" s="1488"/>
      <c r="G8" s="1489"/>
    </row>
    <row r="9" spans="1:7">
      <c r="A9" s="37" t="s">
        <v>794</v>
      </c>
      <c r="B9" s="255">
        <v>30.6</v>
      </c>
      <c r="C9" s="295" t="s">
        <v>316</v>
      </c>
      <c r="G9" s="36"/>
    </row>
    <row r="10" spans="1:7" ht="111" customHeight="1">
      <c r="A10" s="34" t="s">
        <v>317</v>
      </c>
      <c r="B10" s="181"/>
      <c r="C10" s="1509" t="s">
        <v>610</v>
      </c>
      <c r="D10" s="1510"/>
      <c r="E10" s="1510"/>
      <c r="F10" s="1510"/>
      <c r="G10" s="1511"/>
    </row>
    <row r="11" spans="1:7" ht="14.45" customHeight="1">
      <c r="A11" s="34"/>
      <c r="B11" s="181"/>
      <c r="C11" s="1541" t="s">
        <v>76</v>
      </c>
      <c r="D11" s="1533" t="s">
        <v>86</v>
      </c>
      <c r="E11" s="1534"/>
      <c r="F11" s="1534"/>
      <c r="G11" s="1536"/>
    </row>
    <row r="12" spans="1:7">
      <c r="A12" s="37"/>
      <c r="B12" s="181"/>
      <c r="C12" s="1542"/>
      <c r="D12" s="1456" t="s">
        <v>770</v>
      </c>
      <c r="E12" s="1456"/>
      <c r="F12" s="410"/>
      <c r="G12" s="411" t="s">
        <v>43</v>
      </c>
    </row>
    <row r="13" spans="1:7">
      <c r="A13" s="37"/>
      <c r="B13" s="181"/>
      <c r="C13" s="1542"/>
      <c r="D13" s="435" t="s">
        <v>8</v>
      </c>
      <c r="E13" s="435" t="s">
        <v>16</v>
      </c>
      <c r="F13" s="409" t="s">
        <v>318</v>
      </c>
      <c r="G13" s="412"/>
    </row>
    <row r="14" spans="1:7">
      <c r="A14" s="37"/>
      <c r="B14" s="181"/>
      <c r="C14" s="1543"/>
      <c r="D14" s="256" t="s">
        <v>7</v>
      </c>
      <c r="E14" s="257" t="s">
        <v>7</v>
      </c>
      <c r="F14" s="257" t="s">
        <v>7</v>
      </c>
      <c r="G14" s="258" t="s">
        <v>7</v>
      </c>
    </row>
    <row r="15" spans="1:7">
      <c r="A15" s="37" t="s">
        <v>319</v>
      </c>
      <c r="B15" s="181"/>
      <c r="C15" s="193" t="s">
        <v>320</v>
      </c>
      <c r="D15" s="456" t="s">
        <v>165</v>
      </c>
      <c r="E15" s="456" t="s">
        <v>165</v>
      </c>
      <c r="F15" s="456" t="s">
        <v>165</v>
      </c>
      <c r="G15" s="457" t="s">
        <v>165</v>
      </c>
    </row>
    <row r="16" spans="1:7">
      <c r="A16" s="37"/>
      <c r="B16" s="181"/>
      <c r="C16" s="195"/>
      <c r="D16" s="153" t="s">
        <v>321</v>
      </c>
      <c r="E16" s="153" t="s">
        <v>321</v>
      </c>
      <c r="F16" s="153" t="s">
        <v>321</v>
      </c>
      <c r="G16" s="154" t="s">
        <v>321</v>
      </c>
    </row>
    <row r="17" spans="1:7">
      <c r="A17" s="37" t="s">
        <v>319</v>
      </c>
      <c r="B17" s="181"/>
      <c r="C17" s="195" t="s">
        <v>322</v>
      </c>
      <c r="D17" s="153" t="s">
        <v>165</v>
      </c>
      <c r="E17" s="153" t="s">
        <v>165</v>
      </c>
      <c r="F17" s="153" t="s">
        <v>165</v>
      </c>
      <c r="G17" s="154" t="s">
        <v>165</v>
      </c>
    </row>
    <row r="18" spans="1:7">
      <c r="A18" s="37"/>
      <c r="B18" s="181"/>
      <c r="C18" s="195"/>
      <c r="D18" s="148" t="s">
        <v>321</v>
      </c>
      <c r="E18" s="148" t="s">
        <v>321</v>
      </c>
      <c r="F18" s="148" t="s">
        <v>321</v>
      </c>
      <c r="G18" s="149" t="s">
        <v>321</v>
      </c>
    </row>
    <row r="19" spans="1:7">
      <c r="A19" s="37"/>
      <c r="B19" s="181"/>
      <c r="C19" s="214" t="s">
        <v>43</v>
      </c>
      <c r="D19" s="456" t="s">
        <v>165</v>
      </c>
      <c r="E19" s="456" t="s">
        <v>165</v>
      </c>
      <c r="F19" s="456" t="s">
        <v>165</v>
      </c>
      <c r="G19" s="457" t="s">
        <v>165</v>
      </c>
    </row>
    <row r="20" spans="1:7">
      <c r="A20" s="37"/>
      <c r="B20" s="181"/>
      <c r="C20" s="195"/>
      <c r="D20" s="148" t="s">
        <v>321</v>
      </c>
      <c r="E20" s="148" t="s">
        <v>321</v>
      </c>
      <c r="F20" s="148" t="s">
        <v>321</v>
      </c>
      <c r="G20" s="149" t="s">
        <v>321</v>
      </c>
    </row>
    <row r="21" spans="1:7">
      <c r="A21" s="37" t="s">
        <v>323</v>
      </c>
      <c r="B21" s="181"/>
      <c r="C21" s="195" t="s">
        <v>324</v>
      </c>
      <c r="D21" s="456" t="s">
        <v>165</v>
      </c>
      <c r="E21" s="456" t="s">
        <v>165</v>
      </c>
      <c r="F21" s="456" t="s">
        <v>165</v>
      </c>
      <c r="G21" s="457" t="s">
        <v>165</v>
      </c>
    </row>
    <row r="22" spans="1:7">
      <c r="A22" s="37"/>
      <c r="B22" s="181"/>
      <c r="C22" s="195"/>
      <c r="D22" s="153" t="s">
        <v>321</v>
      </c>
      <c r="E22" s="153" t="s">
        <v>321</v>
      </c>
      <c r="F22" s="153" t="s">
        <v>321</v>
      </c>
      <c r="G22" s="154" t="s">
        <v>321</v>
      </c>
    </row>
    <row r="23" spans="1:7">
      <c r="A23" s="1540" t="s">
        <v>325</v>
      </c>
      <c r="B23" s="181"/>
      <c r="C23" s="195" t="s">
        <v>326</v>
      </c>
      <c r="D23" s="153"/>
      <c r="E23" s="153"/>
      <c r="F23" s="153"/>
      <c r="G23" s="154" t="s">
        <v>165</v>
      </c>
    </row>
    <row r="24" spans="1:7">
      <c r="A24" s="1540"/>
      <c r="B24" s="181"/>
      <c r="C24" s="195"/>
      <c r="D24" s="153"/>
      <c r="E24" s="153"/>
      <c r="F24" s="153"/>
      <c r="G24" s="149" t="s">
        <v>321</v>
      </c>
    </row>
    <row r="25" spans="1:7">
      <c r="A25" s="1540"/>
      <c r="B25" s="181"/>
      <c r="C25" s="195" t="s">
        <v>327</v>
      </c>
      <c r="D25" s="153"/>
      <c r="E25" s="153"/>
      <c r="F25" s="153"/>
      <c r="G25" s="154" t="s">
        <v>165</v>
      </c>
    </row>
    <row r="26" spans="1:7">
      <c r="A26" s="1540"/>
      <c r="B26" s="181"/>
      <c r="C26" s="195"/>
      <c r="D26" s="153"/>
      <c r="E26" s="153"/>
      <c r="F26" s="153"/>
      <c r="G26" s="154" t="s">
        <v>321</v>
      </c>
    </row>
    <row r="27" spans="1:7">
      <c r="A27" s="1540"/>
      <c r="B27" s="181"/>
      <c r="C27" s="195" t="s">
        <v>696</v>
      </c>
      <c r="D27" s="153"/>
      <c r="E27" s="153"/>
      <c r="F27" s="153"/>
      <c r="G27" s="154" t="s">
        <v>165</v>
      </c>
    </row>
    <row r="28" spans="1:7">
      <c r="A28" s="1540"/>
      <c r="B28" s="181"/>
      <c r="C28" s="195"/>
      <c r="D28" s="153"/>
      <c r="E28" s="153"/>
      <c r="F28" s="153"/>
      <c r="G28" s="149" t="s">
        <v>321</v>
      </c>
    </row>
    <row r="29" spans="1:7">
      <c r="A29" s="1540"/>
      <c r="B29" s="181"/>
      <c r="C29" s="195" t="s">
        <v>328</v>
      </c>
      <c r="D29" s="153"/>
      <c r="E29" s="153"/>
      <c r="F29" s="153"/>
      <c r="G29" s="154" t="s">
        <v>165</v>
      </c>
    </row>
    <row r="30" spans="1:7">
      <c r="A30" s="1540"/>
      <c r="B30" s="181"/>
      <c r="C30" s="195"/>
      <c r="D30" s="153"/>
      <c r="E30" s="153"/>
      <c r="F30" s="153"/>
      <c r="G30" s="154" t="s">
        <v>321</v>
      </c>
    </row>
    <row r="31" spans="1:7">
      <c r="A31" s="1540"/>
      <c r="B31" s="181"/>
      <c r="C31" s="195" t="s">
        <v>329</v>
      </c>
      <c r="D31" s="153"/>
      <c r="E31" s="153"/>
      <c r="F31" s="153"/>
      <c r="G31" s="154" t="s">
        <v>165</v>
      </c>
    </row>
    <row r="32" spans="1:7">
      <c r="A32" s="1540"/>
      <c r="B32" s="181"/>
      <c r="C32" s="195"/>
      <c r="D32" s="153"/>
      <c r="E32" s="153"/>
      <c r="F32" s="153"/>
      <c r="G32" s="149" t="s">
        <v>321</v>
      </c>
    </row>
    <row r="33" spans="1:7">
      <c r="A33" s="1540"/>
      <c r="B33" s="181"/>
      <c r="C33" s="195" t="s">
        <v>330</v>
      </c>
      <c r="D33" s="153"/>
      <c r="E33" s="153"/>
      <c r="F33" s="153"/>
      <c r="G33" s="154" t="s">
        <v>165</v>
      </c>
    </row>
    <row r="34" spans="1:7">
      <c r="A34" s="37"/>
      <c r="B34" s="181"/>
      <c r="C34" s="195"/>
      <c r="D34" s="153"/>
      <c r="E34" s="153"/>
      <c r="F34" s="153"/>
      <c r="G34" s="149" t="s">
        <v>321</v>
      </c>
    </row>
    <row r="35" spans="1:7" ht="13.5" thickBot="1">
      <c r="A35" s="39"/>
      <c r="B35" s="189"/>
      <c r="C35" s="304"/>
      <c r="D35" s="304"/>
      <c r="E35" s="304"/>
      <c r="F35" s="304"/>
      <c r="G35" s="305"/>
    </row>
    <row r="36" spans="1:7">
      <c r="A36" s="43" t="s">
        <v>128</v>
      </c>
      <c r="B36" s="90" t="s">
        <v>583</v>
      </c>
      <c r="C36" s="90"/>
      <c r="D36" s="4"/>
      <c r="E36" s="4"/>
    </row>
    <row r="37" spans="1:7" ht="13.5" thickBot="1">
      <c r="A37" s="4"/>
      <c r="B37" s="22"/>
      <c r="C37" s="4"/>
      <c r="D37" s="4"/>
      <c r="E37" s="4"/>
    </row>
    <row r="38" spans="1:7" ht="15" customHeight="1">
      <c r="A38" s="1482" t="s">
        <v>2</v>
      </c>
      <c r="B38" s="496" t="s">
        <v>88</v>
      </c>
      <c r="C38" s="1548" t="s">
        <v>76</v>
      </c>
      <c r="D38" s="1544" t="s">
        <v>86</v>
      </c>
      <c r="E38" s="1545"/>
      <c r="F38" s="1546"/>
      <c r="G38" s="537"/>
    </row>
    <row r="39" spans="1:7">
      <c r="A39" s="1547"/>
      <c r="B39" s="497"/>
      <c r="C39" s="1549"/>
      <c r="D39" s="1551" t="s">
        <v>770</v>
      </c>
      <c r="E39" s="1549"/>
      <c r="F39" s="506" t="s">
        <v>43</v>
      </c>
      <c r="G39" s="252"/>
    </row>
    <row r="40" spans="1:7">
      <c r="A40" s="1547"/>
      <c r="B40" s="497"/>
      <c r="C40" s="1549"/>
      <c r="D40" s="495" t="s">
        <v>8</v>
      </c>
      <c r="E40" s="435" t="s">
        <v>16</v>
      </c>
      <c r="F40" s="409"/>
      <c r="G40" s="36"/>
    </row>
    <row r="41" spans="1:7">
      <c r="A41" s="1483"/>
      <c r="B41" s="498"/>
      <c r="C41" s="1550"/>
      <c r="D41" s="256" t="s">
        <v>7</v>
      </c>
      <c r="E41" s="257" t="s">
        <v>7</v>
      </c>
      <c r="F41" s="256" t="s">
        <v>7</v>
      </c>
      <c r="G41" s="36"/>
    </row>
    <row r="42" spans="1:7">
      <c r="A42" s="37" t="s">
        <v>331</v>
      </c>
      <c r="B42" s="181"/>
      <c r="C42" s="259" t="s">
        <v>332</v>
      </c>
      <c r="D42" s="456" t="s">
        <v>165</v>
      </c>
      <c r="E42" s="456" t="s">
        <v>165</v>
      </c>
      <c r="F42" s="456" t="s">
        <v>165</v>
      </c>
      <c r="G42" s="36"/>
    </row>
    <row r="43" spans="1:7">
      <c r="A43" s="37"/>
      <c r="B43" s="181"/>
      <c r="C43" s="35"/>
      <c r="D43" s="153" t="s">
        <v>321</v>
      </c>
      <c r="E43" s="153" t="s">
        <v>321</v>
      </c>
      <c r="F43" s="153" t="s">
        <v>321</v>
      </c>
      <c r="G43" s="36"/>
    </row>
    <row r="44" spans="1:7">
      <c r="A44" s="1540" t="s">
        <v>325</v>
      </c>
      <c r="B44" s="181"/>
      <c r="C44" s="35" t="s">
        <v>333</v>
      </c>
      <c r="D44" s="153"/>
      <c r="E44" s="153"/>
      <c r="F44" s="153" t="s">
        <v>165</v>
      </c>
      <c r="G44" s="36"/>
    </row>
    <row r="45" spans="1:7">
      <c r="A45" s="1540"/>
      <c r="B45" s="181"/>
      <c r="C45" s="35"/>
      <c r="D45" s="153"/>
      <c r="E45" s="153"/>
      <c r="F45" s="148" t="s">
        <v>321</v>
      </c>
      <c r="G45" s="36"/>
    </row>
    <row r="46" spans="1:7">
      <c r="A46" s="1540"/>
      <c r="B46" s="181"/>
      <c r="C46" s="35" t="s">
        <v>334</v>
      </c>
      <c r="D46" s="153"/>
      <c r="E46" s="153"/>
      <c r="F46" s="153" t="s">
        <v>165</v>
      </c>
      <c r="G46" s="36"/>
    </row>
    <row r="47" spans="1:7">
      <c r="A47" s="37"/>
      <c r="B47" s="181"/>
      <c r="C47" s="35"/>
      <c r="D47" s="153"/>
      <c r="E47" s="153"/>
      <c r="F47" s="148" t="s">
        <v>321</v>
      </c>
      <c r="G47" s="36"/>
    </row>
    <row r="48" spans="1:7">
      <c r="A48" s="37"/>
      <c r="B48" s="181"/>
      <c r="C48" s="35"/>
      <c r="D48" s="153"/>
      <c r="E48" s="153"/>
      <c r="F48" s="153"/>
      <c r="G48" s="36"/>
    </row>
    <row r="49" spans="1:7">
      <c r="A49" s="37" t="s">
        <v>335</v>
      </c>
      <c r="B49" s="181"/>
      <c r="C49" s="35" t="s">
        <v>336</v>
      </c>
      <c r="D49" s="153" t="s">
        <v>165</v>
      </c>
      <c r="E49" s="153" t="s">
        <v>165</v>
      </c>
      <c r="F49" s="153" t="s">
        <v>165</v>
      </c>
      <c r="G49" s="36"/>
    </row>
    <row r="50" spans="1:7">
      <c r="A50" s="37"/>
      <c r="B50" s="181"/>
      <c r="C50" s="35"/>
      <c r="D50" s="153" t="s">
        <v>321</v>
      </c>
      <c r="E50" s="153" t="s">
        <v>321</v>
      </c>
      <c r="F50" s="153" t="s">
        <v>321</v>
      </c>
      <c r="G50" s="36"/>
    </row>
    <row r="51" spans="1:7">
      <c r="A51" s="1540" t="s">
        <v>325</v>
      </c>
      <c r="B51" s="181"/>
      <c r="C51" s="35" t="s">
        <v>337</v>
      </c>
      <c r="D51" s="153"/>
      <c r="E51" s="153"/>
      <c r="F51" s="153" t="s">
        <v>165</v>
      </c>
      <c r="G51" s="36"/>
    </row>
    <row r="52" spans="1:7">
      <c r="A52" s="1540"/>
      <c r="B52" s="181"/>
      <c r="C52" s="35"/>
      <c r="D52" s="153"/>
      <c r="E52" s="153"/>
      <c r="F52" s="148" t="s">
        <v>321</v>
      </c>
      <c r="G52" s="36"/>
    </row>
    <row r="53" spans="1:7">
      <c r="A53" s="1540"/>
      <c r="B53" s="181"/>
      <c r="C53" s="35" t="s">
        <v>338</v>
      </c>
      <c r="D53" s="153"/>
      <c r="E53" s="153"/>
      <c r="F53" s="153" t="s">
        <v>165</v>
      </c>
      <c r="G53" s="36"/>
    </row>
    <row r="54" spans="1:7">
      <c r="A54" s="37"/>
      <c r="B54" s="181"/>
      <c r="C54" s="35"/>
      <c r="D54" s="153"/>
      <c r="E54" s="153"/>
      <c r="F54" s="148" t="s">
        <v>321</v>
      </c>
      <c r="G54" s="36"/>
    </row>
    <row r="55" spans="1:7">
      <c r="A55" s="37"/>
      <c r="B55" s="181"/>
      <c r="C55" s="35"/>
      <c r="D55" s="153"/>
      <c r="E55" s="153"/>
      <c r="F55" s="153"/>
      <c r="G55" s="36"/>
    </row>
    <row r="56" spans="1:7">
      <c r="A56" s="37"/>
      <c r="B56" s="181"/>
      <c r="C56" s="261" t="s">
        <v>339</v>
      </c>
      <c r="D56" s="153"/>
      <c r="E56" s="153"/>
      <c r="F56" s="153"/>
      <c r="G56" s="36"/>
    </row>
    <row r="57" spans="1:7">
      <c r="A57" s="37" t="s">
        <v>340</v>
      </c>
      <c r="B57" s="181"/>
      <c r="C57" s="35" t="s">
        <v>341</v>
      </c>
      <c r="D57" s="153" t="s">
        <v>165</v>
      </c>
      <c r="E57" s="153" t="s">
        <v>165</v>
      </c>
      <c r="F57" s="153" t="s">
        <v>165</v>
      </c>
      <c r="G57" s="36"/>
    </row>
    <row r="58" spans="1:7">
      <c r="A58" s="37"/>
      <c r="B58" s="181"/>
      <c r="C58" s="35"/>
      <c r="D58" s="153" t="s">
        <v>321</v>
      </c>
      <c r="E58" s="153" t="s">
        <v>321</v>
      </c>
      <c r="F58" s="153" t="s">
        <v>321</v>
      </c>
      <c r="G58" s="36"/>
    </row>
    <row r="59" spans="1:7">
      <c r="A59" s="37" t="s">
        <v>325</v>
      </c>
      <c r="B59" s="181"/>
      <c r="C59" s="35" t="s">
        <v>342</v>
      </c>
      <c r="D59" s="153"/>
      <c r="E59" s="153"/>
      <c r="F59" s="153" t="s">
        <v>165</v>
      </c>
      <c r="G59" s="36"/>
    </row>
    <row r="60" spans="1:7">
      <c r="A60" s="37"/>
      <c r="B60" s="181"/>
      <c r="C60" s="35"/>
      <c r="D60" s="153"/>
      <c r="E60" s="153"/>
      <c r="F60" s="153" t="s">
        <v>321</v>
      </c>
      <c r="G60" s="36"/>
    </row>
    <row r="61" spans="1:7">
      <c r="A61" s="37" t="s">
        <v>343</v>
      </c>
      <c r="B61" s="181"/>
      <c r="C61" s="35" t="s">
        <v>579</v>
      </c>
      <c r="D61" s="153" t="s">
        <v>165</v>
      </c>
      <c r="E61" s="153" t="s">
        <v>165</v>
      </c>
      <c r="F61" s="153" t="s">
        <v>165</v>
      </c>
      <c r="G61" s="36"/>
    </row>
    <row r="62" spans="1:7">
      <c r="A62" s="37"/>
      <c r="B62" s="181"/>
      <c r="C62" s="35"/>
      <c r="D62" s="153" t="s">
        <v>321</v>
      </c>
      <c r="E62" s="153" t="s">
        <v>321</v>
      </c>
      <c r="F62" s="153" t="s">
        <v>321</v>
      </c>
      <c r="G62" s="36"/>
    </row>
    <row r="63" spans="1:7">
      <c r="A63" s="37" t="s">
        <v>325</v>
      </c>
      <c r="B63" s="181"/>
      <c r="C63" s="35" t="s">
        <v>344</v>
      </c>
      <c r="D63" s="153"/>
      <c r="E63" s="153"/>
      <c r="F63" s="153" t="s">
        <v>165</v>
      </c>
      <c r="G63" s="36"/>
    </row>
    <row r="64" spans="1:7">
      <c r="A64" s="37"/>
      <c r="B64" s="181"/>
      <c r="C64" s="35"/>
      <c r="D64" s="153"/>
      <c r="E64" s="153"/>
      <c r="F64" s="153" t="s">
        <v>321</v>
      </c>
      <c r="G64" s="36"/>
    </row>
    <row r="65" spans="1:7">
      <c r="A65" s="37" t="s">
        <v>345</v>
      </c>
      <c r="B65" s="181"/>
      <c r="C65" s="35" t="s">
        <v>346</v>
      </c>
      <c r="D65" s="153" t="s">
        <v>165</v>
      </c>
      <c r="E65" s="153" t="s">
        <v>165</v>
      </c>
      <c r="F65" s="153" t="s">
        <v>165</v>
      </c>
      <c r="G65" s="36"/>
    </row>
    <row r="66" spans="1:7">
      <c r="A66" s="37"/>
      <c r="B66" s="181"/>
      <c r="C66" s="35"/>
      <c r="D66" s="153" t="s">
        <v>321</v>
      </c>
      <c r="E66" s="153" t="s">
        <v>321</v>
      </c>
      <c r="F66" s="153" t="s">
        <v>321</v>
      </c>
      <c r="G66" s="36"/>
    </row>
    <row r="67" spans="1:7">
      <c r="A67" s="37" t="s">
        <v>325</v>
      </c>
      <c r="B67" s="181"/>
      <c r="C67" s="35" t="s">
        <v>347</v>
      </c>
      <c r="D67" s="153"/>
      <c r="E67" s="153"/>
      <c r="F67" s="153" t="s">
        <v>165</v>
      </c>
      <c r="G67" s="36"/>
    </row>
    <row r="68" spans="1:7">
      <c r="A68" s="37"/>
      <c r="B68" s="181"/>
      <c r="C68" s="35"/>
      <c r="D68" s="153"/>
      <c r="E68" s="153"/>
      <c r="F68" s="153" t="s">
        <v>321</v>
      </c>
      <c r="G68" s="36"/>
    </row>
    <row r="69" spans="1:7">
      <c r="A69" s="37"/>
      <c r="B69" s="181"/>
      <c r="C69" s="260"/>
      <c r="D69" s="148"/>
      <c r="E69" s="148"/>
      <c r="F69" s="148"/>
      <c r="G69" s="36"/>
    </row>
    <row r="70" spans="1:7" ht="13.5" thickBot="1">
      <c r="A70" s="39"/>
      <c r="B70" s="189"/>
      <c r="C70" s="185"/>
      <c r="D70" s="183"/>
      <c r="E70" s="183"/>
      <c r="F70" s="183"/>
      <c r="G70" s="40"/>
    </row>
    <row r="71" spans="1:7">
      <c r="A71" s="43" t="s">
        <v>128</v>
      </c>
      <c r="B71" s="90" t="s">
        <v>583</v>
      </c>
      <c r="C71" s="90"/>
      <c r="D71" s="4"/>
      <c r="E71" s="4"/>
    </row>
    <row r="72" spans="1:7" ht="13.5" thickBot="1">
      <c r="A72" s="4"/>
      <c r="B72" s="22"/>
      <c r="C72" s="4"/>
      <c r="D72" s="4"/>
      <c r="E72" s="4"/>
    </row>
    <row r="73" spans="1:7" ht="15" customHeight="1">
      <c r="A73" s="1482" t="s">
        <v>2</v>
      </c>
      <c r="B73" s="451" t="s">
        <v>88</v>
      </c>
      <c r="C73" s="1552" t="s">
        <v>26</v>
      </c>
      <c r="D73" s="1553"/>
      <c r="E73" s="1553"/>
      <c r="F73" s="1553"/>
      <c r="G73" s="1554"/>
    </row>
    <row r="74" spans="1:7">
      <c r="A74" s="1483"/>
      <c r="B74" s="481"/>
      <c r="C74" s="482"/>
      <c r="D74" s="482"/>
      <c r="E74" s="482"/>
      <c r="F74" s="270"/>
      <c r="G74" s="306"/>
    </row>
    <row r="75" spans="1:7" ht="26.45" customHeight="1">
      <c r="A75" s="34" t="s">
        <v>795</v>
      </c>
      <c r="B75" s="181"/>
      <c r="C75" s="1530" t="s">
        <v>812</v>
      </c>
      <c r="D75" s="1530"/>
      <c r="E75" s="1530"/>
      <c r="F75" s="1530"/>
      <c r="G75" s="36"/>
    </row>
    <row r="76" spans="1:7">
      <c r="A76" s="34"/>
      <c r="B76" s="181"/>
      <c r="C76" s="349"/>
      <c r="D76" s="349"/>
      <c r="E76" s="349"/>
      <c r="F76" s="349"/>
      <c r="G76" s="36"/>
    </row>
    <row r="77" spans="1:7" ht="58.15" customHeight="1">
      <c r="A77" s="37"/>
      <c r="B77" s="181"/>
      <c r="C77" s="1541" t="s">
        <v>348</v>
      </c>
      <c r="D77" s="191" t="s">
        <v>736</v>
      </c>
      <c r="E77" s="191" t="s">
        <v>737</v>
      </c>
      <c r="F77" s="191" t="s">
        <v>738</v>
      </c>
      <c r="G77" s="36"/>
    </row>
    <row r="78" spans="1:7">
      <c r="A78" s="37"/>
      <c r="B78" s="181"/>
      <c r="C78" s="1543"/>
      <c r="D78" s="256" t="s">
        <v>7</v>
      </c>
      <c r="E78" s="257" t="s">
        <v>7</v>
      </c>
      <c r="F78" s="257" t="s">
        <v>7</v>
      </c>
      <c r="G78" s="36"/>
    </row>
    <row r="79" spans="1:7">
      <c r="A79" s="37"/>
      <c r="B79" s="181"/>
      <c r="C79" s="259"/>
      <c r="D79" s="193"/>
      <c r="E79" s="193"/>
      <c r="F79" s="193"/>
      <c r="G79" s="36"/>
    </row>
    <row r="80" spans="1:7">
      <c r="A80" s="37"/>
      <c r="B80" s="181"/>
      <c r="C80" s="35" t="s">
        <v>349</v>
      </c>
      <c r="D80" s="153" t="s">
        <v>165</v>
      </c>
      <c r="E80" s="153" t="s">
        <v>165</v>
      </c>
      <c r="F80" s="153" t="s">
        <v>165</v>
      </c>
      <c r="G80" s="36"/>
    </row>
    <row r="81" spans="1:7">
      <c r="A81" s="37"/>
      <c r="B81" s="181"/>
      <c r="C81" s="35"/>
      <c r="D81" s="153" t="s">
        <v>321</v>
      </c>
      <c r="E81" s="153" t="s">
        <v>321</v>
      </c>
      <c r="F81" s="153" t="s">
        <v>321</v>
      </c>
      <c r="G81" s="36"/>
    </row>
    <row r="82" spans="1:7">
      <c r="A82" s="37"/>
      <c r="B82" s="181"/>
      <c r="C82" s="35" t="s">
        <v>350</v>
      </c>
      <c r="D82" s="153" t="s">
        <v>165</v>
      </c>
      <c r="E82" s="153" t="s">
        <v>165</v>
      </c>
      <c r="F82" s="153" t="s">
        <v>165</v>
      </c>
      <c r="G82" s="36"/>
    </row>
    <row r="83" spans="1:7">
      <c r="A83" s="37"/>
      <c r="B83" s="181"/>
      <c r="C83" s="35"/>
      <c r="D83" s="153" t="s">
        <v>321</v>
      </c>
      <c r="E83" s="153" t="s">
        <v>321</v>
      </c>
      <c r="F83" s="153" t="s">
        <v>321</v>
      </c>
      <c r="G83" s="36"/>
    </row>
    <row r="84" spans="1:7">
      <c r="A84" s="37"/>
      <c r="B84" s="181"/>
      <c r="C84" s="35" t="s">
        <v>351</v>
      </c>
      <c r="D84" s="153" t="s">
        <v>165</v>
      </c>
      <c r="E84" s="153" t="s">
        <v>165</v>
      </c>
      <c r="F84" s="153" t="s">
        <v>165</v>
      </c>
      <c r="G84" s="36"/>
    </row>
    <row r="85" spans="1:7">
      <c r="A85" s="37"/>
      <c r="B85" s="181"/>
      <c r="C85" s="35"/>
      <c r="D85" s="153" t="s">
        <v>321</v>
      </c>
      <c r="E85" s="153" t="s">
        <v>321</v>
      </c>
      <c r="F85" s="153" t="s">
        <v>321</v>
      </c>
      <c r="G85" s="36"/>
    </row>
    <row r="86" spans="1:7">
      <c r="A86" s="37"/>
      <c r="B86" s="181"/>
      <c r="C86" s="35" t="s">
        <v>79</v>
      </c>
      <c r="D86" s="153" t="s">
        <v>165</v>
      </c>
      <c r="E86" s="153" t="s">
        <v>165</v>
      </c>
      <c r="F86" s="153" t="s">
        <v>165</v>
      </c>
      <c r="G86" s="36"/>
    </row>
    <row r="87" spans="1:7">
      <c r="A87" s="37"/>
      <c r="B87" s="181"/>
      <c r="C87" s="35"/>
      <c r="D87" s="153" t="s">
        <v>321</v>
      </c>
      <c r="E87" s="153" t="s">
        <v>321</v>
      </c>
      <c r="F87" s="153" t="s">
        <v>321</v>
      </c>
      <c r="G87" s="36"/>
    </row>
    <row r="88" spans="1:7">
      <c r="A88" s="37"/>
      <c r="B88" s="181"/>
      <c r="C88" s="260"/>
      <c r="D88" s="200"/>
      <c r="E88" s="200"/>
      <c r="F88" s="200"/>
      <c r="G88" s="36"/>
    </row>
    <row r="89" spans="1:7">
      <c r="A89" s="177"/>
      <c r="B89" s="181"/>
      <c r="C89" s="179" t="s">
        <v>352</v>
      </c>
      <c r="D89" s="179"/>
      <c r="E89" s="179"/>
      <c r="G89" s="36"/>
    </row>
    <row r="90" spans="1:7" ht="22.15" customHeight="1" thickBot="1">
      <c r="A90" s="528" t="s">
        <v>317</v>
      </c>
      <c r="B90" s="529"/>
      <c r="C90" s="1434" t="s">
        <v>796</v>
      </c>
      <c r="D90" s="1435"/>
      <c r="E90" s="1435"/>
      <c r="F90" s="1436"/>
      <c r="G90" s="40"/>
    </row>
  </sheetData>
  <mergeCells count="18">
    <mergeCell ref="C90:F90"/>
    <mergeCell ref="D38:F38"/>
    <mergeCell ref="A38:A41"/>
    <mergeCell ref="C38:C41"/>
    <mergeCell ref="C77:C78"/>
    <mergeCell ref="D39:E39"/>
    <mergeCell ref="A44:A46"/>
    <mergeCell ref="A51:A53"/>
    <mergeCell ref="C75:F75"/>
    <mergeCell ref="A73:A74"/>
    <mergeCell ref="C73:G73"/>
    <mergeCell ref="A7:A8"/>
    <mergeCell ref="C10:G10"/>
    <mergeCell ref="D12:E12"/>
    <mergeCell ref="A23:A33"/>
    <mergeCell ref="C7:G8"/>
    <mergeCell ref="D11:G11"/>
    <mergeCell ref="C11:C14"/>
  </mergeCells>
  <pageMargins left="0.5" right="0.5" top="0.5" bottom="0.5" header="0.5" footer="0.5"/>
  <pageSetup scale="92" fitToHeight="0" orientation="landscape" r:id="rId1"/>
  <headerFooter alignWithMargins="0"/>
  <rowBreaks count="2" manualBreakCount="2">
    <brk id="35" max="16383" man="1"/>
    <brk id="70"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9">
    <pageSetUpPr fitToPage="1"/>
  </sheetPr>
  <dimension ref="A2:L68"/>
  <sheetViews>
    <sheetView showGridLines="0" view="pageBreakPreview" topLeftCell="A2" zoomScaleNormal="80" zoomScaleSheetLayoutView="100" workbookViewId="0">
      <selection activeCell="C51" sqref="C51"/>
    </sheetView>
  </sheetViews>
  <sheetFormatPr defaultColWidth="8.85546875" defaultRowHeight="12.75"/>
  <cols>
    <col min="1" max="1" width="10" style="33" customWidth="1"/>
    <col min="2" max="2" width="8.85546875" style="186"/>
    <col min="3" max="3" width="52.28515625" style="33" customWidth="1"/>
    <col min="4" max="4" width="12.42578125" style="33" customWidth="1"/>
    <col min="5" max="5" width="11.7109375" style="33" customWidth="1"/>
    <col min="6" max="6" width="13.7109375" style="33" customWidth="1"/>
    <col min="7" max="7" width="14.7109375" style="33" customWidth="1"/>
    <col min="8" max="8" width="12.28515625" style="33" customWidth="1"/>
    <col min="9" max="9" width="6.28515625" style="33" bestFit="1" customWidth="1"/>
    <col min="10" max="11" width="12.28515625" style="33" customWidth="1"/>
    <col min="12" max="16384" width="8.85546875" style="33"/>
  </cols>
  <sheetData>
    <row r="2" spans="1:12">
      <c r="A2" s="4"/>
      <c r="B2" s="90" t="s">
        <v>3</v>
      </c>
      <c r="D2" s="4"/>
    </row>
    <row r="3" spans="1:12">
      <c r="A3" s="4"/>
      <c r="B3" s="90" t="s">
        <v>60</v>
      </c>
      <c r="D3" s="4"/>
    </row>
    <row r="4" spans="1:12">
      <c r="A4" s="4"/>
      <c r="B4" s="33"/>
      <c r="D4" s="4"/>
    </row>
    <row r="5" spans="1:12">
      <c r="A5" s="43" t="s">
        <v>128</v>
      </c>
      <c r="B5" s="90" t="s">
        <v>583</v>
      </c>
      <c r="D5" s="4"/>
    </row>
    <row r="6" spans="1:12" ht="13.5" thickBot="1">
      <c r="A6" s="4"/>
      <c r="B6" s="22"/>
      <c r="C6" s="4"/>
      <c r="D6" s="4"/>
    </row>
    <row r="7" spans="1:12" ht="14.45" customHeight="1">
      <c r="A7" s="1406" t="s">
        <v>2</v>
      </c>
      <c r="B7" s="453" t="s">
        <v>88</v>
      </c>
      <c r="C7" s="1552" t="s">
        <v>26</v>
      </c>
      <c r="D7" s="1553"/>
      <c r="E7" s="1553"/>
      <c r="F7" s="1553"/>
      <c r="G7" s="1553"/>
      <c r="H7" s="1553"/>
      <c r="I7" s="1553"/>
      <c r="J7" s="1553"/>
      <c r="K7" s="1553"/>
      <c r="L7" s="1554"/>
    </row>
    <row r="8" spans="1:12" ht="15" customHeight="1">
      <c r="A8" s="1407"/>
      <c r="B8" s="476"/>
      <c r="C8" s="1565"/>
      <c r="D8" s="1566"/>
      <c r="E8" s="1566"/>
      <c r="F8" s="1566"/>
      <c r="G8" s="1566"/>
      <c r="H8" s="1566"/>
      <c r="I8" s="1566"/>
      <c r="J8" s="1566"/>
      <c r="K8" s="1566"/>
      <c r="L8" s="1567"/>
    </row>
    <row r="9" spans="1:12" ht="25.5">
      <c r="A9" s="83" t="s">
        <v>797</v>
      </c>
      <c r="B9" s="152">
        <v>30.7</v>
      </c>
      <c r="C9" s="5" t="s">
        <v>353</v>
      </c>
      <c r="D9" s="4"/>
      <c r="L9" s="36"/>
    </row>
    <row r="10" spans="1:12">
      <c r="A10" s="95"/>
      <c r="B10" s="152" t="s">
        <v>354</v>
      </c>
      <c r="C10" s="5" t="s">
        <v>740</v>
      </c>
      <c r="D10" s="4"/>
      <c r="L10" s="36"/>
    </row>
    <row r="11" spans="1:12" ht="30" customHeight="1">
      <c r="A11" s="37" t="s">
        <v>357</v>
      </c>
      <c r="B11" s="152"/>
      <c r="C11" s="264" t="s">
        <v>355</v>
      </c>
      <c r="D11" s="1555" t="s">
        <v>356</v>
      </c>
      <c r="E11" s="1556"/>
      <c r="F11" s="1556"/>
      <c r="G11" s="1557"/>
      <c r="L11" s="36"/>
    </row>
    <row r="12" spans="1:12">
      <c r="A12" s="37" t="s">
        <v>372</v>
      </c>
      <c r="B12" s="152"/>
      <c r="C12" s="226" t="s">
        <v>360</v>
      </c>
      <c r="D12" s="128" t="s">
        <v>361</v>
      </c>
      <c r="G12" s="35"/>
      <c r="L12" s="36"/>
    </row>
    <row r="13" spans="1:12">
      <c r="A13" s="37"/>
      <c r="B13" s="152"/>
      <c r="C13" s="266" t="s">
        <v>358</v>
      </c>
      <c r="D13" s="128" t="s">
        <v>359</v>
      </c>
      <c r="G13" s="35"/>
      <c r="L13" s="36"/>
    </row>
    <row r="14" spans="1:12">
      <c r="A14" s="37"/>
      <c r="B14" s="152"/>
      <c r="C14" s="266" t="s">
        <v>360</v>
      </c>
      <c r="D14" s="128" t="s">
        <v>361</v>
      </c>
      <c r="G14" s="35"/>
      <c r="L14" s="36"/>
    </row>
    <row r="15" spans="1:12">
      <c r="A15" s="37"/>
      <c r="B15" s="152"/>
      <c r="C15" s="266" t="s">
        <v>362</v>
      </c>
      <c r="D15" s="1563" t="s">
        <v>363</v>
      </c>
      <c r="E15" s="1564"/>
      <c r="G15" s="35"/>
      <c r="L15" s="36"/>
    </row>
    <row r="16" spans="1:12" ht="16.149999999999999" customHeight="1">
      <c r="A16" s="37"/>
      <c r="B16" s="152"/>
      <c r="C16" s="266" t="s">
        <v>364</v>
      </c>
      <c r="D16" s="1563" t="s">
        <v>365</v>
      </c>
      <c r="E16" s="1564"/>
      <c r="F16" s="1564"/>
      <c r="G16" s="1568"/>
      <c r="L16" s="36"/>
    </row>
    <row r="17" spans="1:12" ht="14.45" customHeight="1">
      <c r="A17" s="37"/>
      <c r="B17" s="152"/>
      <c r="C17" s="266" t="s">
        <v>366</v>
      </c>
      <c r="D17" s="1563" t="s">
        <v>668</v>
      </c>
      <c r="E17" s="1564"/>
      <c r="G17" s="35"/>
      <c r="L17" s="36"/>
    </row>
    <row r="18" spans="1:12">
      <c r="A18" s="37"/>
      <c r="B18" s="152"/>
      <c r="C18" s="266" t="s">
        <v>771</v>
      </c>
      <c r="D18" s="1563" t="s">
        <v>367</v>
      </c>
      <c r="E18" s="1564"/>
      <c r="G18" s="35"/>
      <c r="L18" s="36"/>
    </row>
    <row r="19" spans="1:12" ht="14.45" customHeight="1">
      <c r="A19" s="37"/>
      <c r="B19" s="152"/>
      <c r="C19" s="266" t="s">
        <v>611</v>
      </c>
      <c r="D19" s="267" t="s">
        <v>368</v>
      </c>
      <c r="G19" s="35"/>
      <c r="L19" s="36"/>
    </row>
    <row r="20" spans="1:12" ht="28.9" customHeight="1">
      <c r="A20" s="37"/>
      <c r="B20" s="152"/>
      <c r="C20" s="268" t="s">
        <v>369</v>
      </c>
      <c r="D20" s="269" t="s">
        <v>370</v>
      </c>
      <c r="E20" s="270"/>
      <c r="F20" s="270"/>
      <c r="G20" s="260"/>
      <c r="L20" s="36"/>
    </row>
    <row r="21" spans="1:12">
      <c r="A21" s="37"/>
      <c r="B21" s="152"/>
      <c r="C21" s="1558" t="s">
        <v>371</v>
      </c>
      <c r="D21" s="1559"/>
      <c r="E21" s="1559"/>
      <c r="F21" s="1559"/>
      <c r="G21" s="1559"/>
      <c r="L21" s="271"/>
    </row>
    <row r="22" spans="1:12" ht="26.45" customHeight="1">
      <c r="A22" s="37"/>
      <c r="B22" s="152"/>
      <c r="C22" s="1569" t="s">
        <v>739</v>
      </c>
      <c r="D22" s="1570"/>
      <c r="E22" s="1570"/>
      <c r="F22" s="1570"/>
      <c r="G22" s="1570"/>
      <c r="L22" s="500" t="s">
        <v>7</v>
      </c>
    </row>
    <row r="23" spans="1:12" ht="99" customHeight="1">
      <c r="A23" s="37" t="s">
        <v>372</v>
      </c>
      <c r="B23" s="152" t="s">
        <v>373</v>
      </c>
      <c r="C23" s="499"/>
      <c r="D23" s="501" t="s">
        <v>360</v>
      </c>
      <c r="E23" s="501" t="s">
        <v>358</v>
      </c>
      <c r="F23" s="501" t="s">
        <v>362</v>
      </c>
      <c r="G23" s="501" t="s">
        <v>374</v>
      </c>
      <c r="H23" s="501" t="s">
        <v>366</v>
      </c>
      <c r="I23" s="501" t="s">
        <v>732</v>
      </c>
      <c r="J23" s="501" t="s">
        <v>611</v>
      </c>
      <c r="K23" s="437" t="s">
        <v>733</v>
      </c>
      <c r="L23" s="502" t="s">
        <v>43</v>
      </c>
    </row>
    <row r="24" spans="1:12" ht="40.15" customHeight="1">
      <c r="A24" s="510" t="s">
        <v>375</v>
      </c>
      <c r="B24" s="151"/>
      <c r="C24" s="1560" t="s">
        <v>734</v>
      </c>
      <c r="D24" s="1561"/>
      <c r="E24" s="1561"/>
      <c r="F24" s="1561"/>
      <c r="G24" s="1561"/>
      <c r="H24" s="1561"/>
      <c r="I24" s="1561"/>
      <c r="J24" s="1561"/>
      <c r="K24" s="1561"/>
      <c r="L24" s="1562"/>
    </row>
    <row r="25" spans="1:12">
      <c r="A25" s="37"/>
      <c r="B25" s="152"/>
      <c r="C25" s="227" t="s">
        <v>669</v>
      </c>
      <c r="D25" s="272" t="s">
        <v>165</v>
      </c>
      <c r="E25" s="272" t="s">
        <v>165</v>
      </c>
      <c r="F25" s="272" t="s">
        <v>165</v>
      </c>
      <c r="G25" s="272" t="s">
        <v>165</v>
      </c>
      <c r="H25" s="272" t="s">
        <v>165</v>
      </c>
      <c r="I25" s="272" t="s">
        <v>165</v>
      </c>
      <c r="J25" s="272" t="s">
        <v>165</v>
      </c>
      <c r="K25" s="272" t="s">
        <v>165</v>
      </c>
      <c r="L25" s="273" t="s">
        <v>165</v>
      </c>
    </row>
    <row r="26" spans="1:12">
      <c r="A26" s="37"/>
      <c r="B26" s="152"/>
      <c r="C26" s="227"/>
      <c r="D26" s="272" t="s">
        <v>321</v>
      </c>
      <c r="E26" s="272" t="s">
        <v>321</v>
      </c>
      <c r="F26" s="272" t="s">
        <v>321</v>
      </c>
      <c r="G26" s="272" t="s">
        <v>321</v>
      </c>
      <c r="H26" s="272" t="s">
        <v>321</v>
      </c>
      <c r="I26" s="272" t="s">
        <v>321</v>
      </c>
      <c r="J26" s="272" t="s">
        <v>321</v>
      </c>
      <c r="K26" s="272" t="s">
        <v>321</v>
      </c>
      <c r="L26" s="273" t="s">
        <v>321</v>
      </c>
    </row>
    <row r="27" spans="1:12">
      <c r="A27" s="37"/>
      <c r="B27" s="152"/>
      <c r="C27" s="227" t="s">
        <v>62</v>
      </c>
      <c r="D27" s="272" t="s">
        <v>165</v>
      </c>
      <c r="E27" s="272" t="s">
        <v>165</v>
      </c>
      <c r="F27" s="272" t="s">
        <v>165</v>
      </c>
      <c r="G27" s="272" t="s">
        <v>165</v>
      </c>
      <c r="H27" s="272" t="s">
        <v>165</v>
      </c>
      <c r="I27" s="272" t="s">
        <v>165</v>
      </c>
      <c r="J27" s="272" t="s">
        <v>165</v>
      </c>
      <c r="K27" s="272" t="s">
        <v>165</v>
      </c>
      <c r="L27" s="273" t="s">
        <v>165</v>
      </c>
    </row>
    <row r="28" spans="1:12">
      <c r="A28" s="37"/>
      <c r="B28" s="152"/>
      <c r="C28" s="227"/>
      <c r="D28" s="272" t="s">
        <v>321</v>
      </c>
      <c r="E28" s="272" t="s">
        <v>321</v>
      </c>
      <c r="F28" s="272" t="s">
        <v>321</v>
      </c>
      <c r="G28" s="272" t="s">
        <v>321</v>
      </c>
      <c r="H28" s="272" t="s">
        <v>321</v>
      </c>
      <c r="I28" s="272" t="s">
        <v>321</v>
      </c>
      <c r="J28" s="272" t="s">
        <v>321</v>
      </c>
      <c r="K28" s="272" t="s">
        <v>321</v>
      </c>
      <c r="L28" s="273" t="s">
        <v>321</v>
      </c>
    </row>
    <row r="29" spans="1:12">
      <c r="A29" s="37"/>
      <c r="B29" s="152"/>
      <c r="C29" s="227" t="s">
        <v>376</v>
      </c>
      <c r="D29" s="272" t="s">
        <v>165</v>
      </c>
      <c r="E29" s="272" t="s">
        <v>165</v>
      </c>
      <c r="F29" s="272" t="s">
        <v>165</v>
      </c>
      <c r="G29" s="272" t="s">
        <v>165</v>
      </c>
      <c r="H29" s="272" t="s">
        <v>165</v>
      </c>
      <c r="I29" s="272" t="s">
        <v>165</v>
      </c>
      <c r="J29" s="272" t="s">
        <v>165</v>
      </c>
      <c r="K29" s="272" t="s">
        <v>165</v>
      </c>
      <c r="L29" s="273" t="s">
        <v>165</v>
      </c>
    </row>
    <row r="30" spans="1:12">
      <c r="A30" s="37"/>
      <c r="B30" s="152"/>
      <c r="C30" s="227"/>
      <c r="D30" s="272" t="s">
        <v>321</v>
      </c>
      <c r="E30" s="272" t="s">
        <v>321</v>
      </c>
      <c r="F30" s="272" t="s">
        <v>321</v>
      </c>
      <c r="G30" s="272" t="s">
        <v>321</v>
      </c>
      <c r="H30" s="272" t="s">
        <v>321</v>
      </c>
      <c r="I30" s="272" t="s">
        <v>321</v>
      </c>
      <c r="J30" s="272" t="s">
        <v>321</v>
      </c>
      <c r="K30" s="272" t="s">
        <v>321</v>
      </c>
      <c r="L30" s="273" t="s">
        <v>321</v>
      </c>
    </row>
    <row r="31" spans="1:12">
      <c r="A31" s="37"/>
      <c r="B31" s="152"/>
      <c r="C31" s="227" t="s">
        <v>377</v>
      </c>
      <c r="D31" s="272" t="s">
        <v>165</v>
      </c>
      <c r="E31" s="272" t="s">
        <v>165</v>
      </c>
      <c r="F31" s="272" t="s">
        <v>165</v>
      </c>
      <c r="G31" s="272" t="s">
        <v>165</v>
      </c>
      <c r="H31" s="272" t="s">
        <v>165</v>
      </c>
      <c r="I31" s="272" t="s">
        <v>165</v>
      </c>
      <c r="J31" s="272" t="s">
        <v>165</v>
      </c>
      <c r="K31" s="272" t="s">
        <v>165</v>
      </c>
      <c r="L31" s="273" t="s">
        <v>165</v>
      </c>
    </row>
    <row r="32" spans="1:12">
      <c r="A32" s="37"/>
      <c r="B32" s="152"/>
      <c r="C32" s="227"/>
      <c r="D32" s="272" t="s">
        <v>321</v>
      </c>
      <c r="E32" s="272" t="s">
        <v>321</v>
      </c>
      <c r="F32" s="272" t="s">
        <v>321</v>
      </c>
      <c r="G32" s="272" t="s">
        <v>321</v>
      </c>
      <c r="H32" s="272" t="s">
        <v>321</v>
      </c>
      <c r="I32" s="272" t="s">
        <v>321</v>
      </c>
      <c r="J32" s="272" t="s">
        <v>321</v>
      </c>
      <c r="K32" s="272" t="s">
        <v>321</v>
      </c>
      <c r="L32" s="273" t="s">
        <v>321</v>
      </c>
    </row>
    <row r="33" spans="1:12">
      <c r="A33" s="37"/>
      <c r="B33" s="152"/>
      <c r="C33" s="227" t="s">
        <v>378</v>
      </c>
      <c r="D33" s="272" t="s">
        <v>165</v>
      </c>
      <c r="E33" s="272" t="s">
        <v>165</v>
      </c>
      <c r="F33" s="272" t="s">
        <v>165</v>
      </c>
      <c r="G33" s="272" t="s">
        <v>165</v>
      </c>
      <c r="H33" s="272" t="s">
        <v>165</v>
      </c>
      <c r="I33" s="272" t="s">
        <v>165</v>
      </c>
      <c r="J33" s="272" t="s">
        <v>165</v>
      </c>
      <c r="K33" s="272" t="s">
        <v>165</v>
      </c>
      <c r="L33" s="273" t="s">
        <v>165</v>
      </c>
    </row>
    <row r="34" spans="1:12">
      <c r="A34" s="37"/>
      <c r="B34" s="152"/>
      <c r="C34" s="227"/>
      <c r="D34" s="272" t="s">
        <v>321</v>
      </c>
      <c r="E34" s="272" t="s">
        <v>321</v>
      </c>
      <c r="F34" s="272" t="s">
        <v>321</v>
      </c>
      <c r="G34" s="272" t="s">
        <v>321</v>
      </c>
      <c r="H34" s="272" t="s">
        <v>321</v>
      </c>
      <c r="I34" s="272" t="s">
        <v>321</v>
      </c>
      <c r="J34" s="272" t="s">
        <v>321</v>
      </c>
      <c r="K34" s="272" t="s">
        <v>321</v>
      </c>
      <c r="L34" s="273" t="s">
        <v>321</v>
      </c>
    </row>
    <row r="35" spans="1:12">
      <c r="A35" s="37"/>
      <c r="B35" s="152"/>
      <c r="C35" s="227" t="s">
        <v>379</v>
      </c>
      <c r="D35" s="272" t="s">
        <v>165</v>
      </c>
      <c r="E35" s="272" t="s">
        <v>165</v>
      </c>
      <c r="F35" s="272" t="s">
        <v>165</v>
      </c>
      <c r="G35" s="272" t="s">
        <v>165</v>
      </c>
      <c r="H35" s="272" t="s">
        <v>165</v>
      </c>
      <c r="I35" s="272" t="s">
        <v>165</v>
      </c>
      <c r="J35" s="272" t="s">
        <v>165</v>
      </c>
      <c r="K35" s="272" t="s">
        <v>165</v>
      </c>
      <c r="L35" s="273" t="s">
        <v>165</v>
      </c>
    </row>
    <row r="36" spans="1:12">
      <c r="A36" s="37"/>
      <c r="B36" s="152"/>
      <c r="C36" s="227"/>
      <c r="D36" s="272" t="s">
        <v>321</v>
      </c>
      <c r="E36" s="272" t="s">
        <v>321</v>
      </c>
      <c r="F36" s="272" t="s">
        <v>321</v>
      </c>
      <c r="G36" s="272" t="s">
        <v>321</v>
      </c>
      <c r="H36" s="272" t="s">
        <v>321</v>
      </c>
      <c r="I36" s="272" t="s">
        <v>321</v>
      </c>
      <c r="J36" s="272" t="s">
        <v>321</v>
      </c>
      <c r="K36" s="272" t="s">
        <v>321</v>
      </c>
      <c r="L36" s="273" t="s">
        <v>321</v>
      </c>
    </row>
    <row r="37" spans="1:12">
      <c r="A37" s="37"/>
      <c r="B37" s="152"/>
      <c r="C37" s="227" t="s">
        <v>380</v>
      </c>
      <c r="D37" s="272" t="s">
        <v>165</v>
      </c>
      <c r="E37" s="272" t="s">
        <v>165</v>
      </c>
      <c r="F37" s="272" t="s">
        <v>165</v>
      </c>
      <c r="G37" s="272" t="s">
        <v>165</v>
      </c>
      <c r="H37" s="272" t="s">
        <v>165</v>
      </c>
      <c r="I37" s="272" t="s">
        <v>165</v>
      </c>
      <c r="J37" s="272" t="s">
        <v>165</v>
      </c>
      <c r="K37" s="272" t="s">
        <v>165</v>
      </c>
      <c r="L37" s="273" t="s">
        <v>165</v>
      </c>
    </row>
    <row r="38" spans="1:12">
      <c r="A38" s="37"/>
      <c r="B38" s="152"/>
      <c r="C38" s="227"/>
      <c r="D38" s="272" t="s">
        <v>321</v>
      </c>
      <c r="E38" s="272" t="s">
        <v>321</v>
      </c>
      <c r="F38" s="272" t="s">
        <v>321</v>
      </c>
      <c r="G38" s="272" t="s">
        <v>321</v>
      </c>
      <c r="H38" s="272" t="s">
        <v>321</v>
      </c>
      <c r="I38" s="272" t="s">
        <v>321</v>
      </c>
      <c r="J38" s="272" t="s">
        <v>321</v>
      </c>
      <c r="K38" s="272" t="s">
        <v>321</v>
      </c>
      <c r="L38" s="273" t="s">
        <v>321</v>
      </c>
    </row>
    <row r="39" spans="1:12">
      <c r="A39" s="37"/>
      <c r="B39" s="152"/>
      <c r="C39" s="227" t="s">
        <v>381</v>
      </c>
      <c r="D39" s="272" t="s">
        <v>165</v>
      </c>
      <c r="E39" s="272" t="s">
        <v>165</v>
      </c>
      <c r="F39" s="272" t="s">
        <v>165</v>
      </c>
      <c r="G39" s="272" t="s">
        <v>165</v>
      </c>
      <c r="H39" s="272" t="s">
        <v>165</v>
      </c>
      <c r="I39" s="272" t="s">
        <v>165</v>
      </c>
      <c r="J39" s="272" t="s">
        <v>165</v>
      </c>
      <c r="K39" s="272" t="s">
        <v>165</v>
      </c>
      <c r="L39" s="273" t="s">
        <v>165</v>
      </c>
    </row>
    <row r="40" spans="1:12">
      <c r="A40" s="37"/>
      <c r="B40" s="152"/>
      <c r="C40" s="227"/>
      <c r="D40" s="272" t="s">
        <v>321</v>
      </c>
      <c r="E40" s="272" t="s">
        <v>321</v>
      </c>
      <c r="F40" s="272" t="s">
        <v>321</v>
      </c>
      <c r="G40" s="272" t="s">
        <v>321</v>
      </c>
      <c r="H40" s="272" t="s">
        <v>321</v>
      </c>
      <c r="I40" s="272" t="s">
        <v>321</v>
      </c>
      <c r="J40" s="272" t="s">
        <v>321</v>
      </c>
      <c r="K40" s="272" t="s">
        <v>321</v>
      </c>
      <c r="L40" s="273" t="s">
        <v>321</v>
      </c>
    </row>
    <row r="41" spans="1:12">
      <c r="A41" s="37"/>
      <c r="B41" s="152"/>
      <c r="C41" s="227" t="s">
        <v>382</v>
      </c>
      <c r="D41" s="272" t="s">
        <v>165</v>
      </c>
      <c r="E41" s="272" t="s">
        <v>165</v>
      </c>
      <c r="F41" s="272" t="s">
        <v>165</v>
      </c>
      <c r="G41" s="272" t="s">
        <v>165</v>
      </c>
      <c r="H41" s="272" t="s">
        <v>165</v>
      </c>
      <c r="I41" s="272" t="s">
        <v>165</v>
      </c>
      <c r="J41" s="272" t="s">
        <v>165</v>
      </c>
      <c r="K41" s="272" t="s">
        <v>165</v>
      </c>
      <c r="L41" s="273" t="s">
        <v>165</v>
      </c>
    </row>
    <row r="42" spans="1:12">
      <c r="A42" s="37"/>
      <c r="B42" s="152"/>
      <c r="C42" s="227"/>
      <c r="D42" s="272" t="s">
        <v>321</v>
      </c>
      <c r="E42" s="272" t="s">
        <v>321</v>
      </c>
      <c r="F42" s="272" t="s">
        <v>321</v>
      </c>
      <c r="G42" s="272" t="s">
        <v>321</v>
      </c>
      <c r="H42" s="272" t="s">
        <v>321</v>
      </c>
      <c r="I42" s="272" t="s">
        <v>321</v>
      </c>
      <c r="J42" s="272" t="s">
        <v>321</v>
      </c>
      <c r="K42" s="272" t="s">
        <v>321</v>
      </c>
      <c r="L42" s="273" t="s">
        <v>321</v>
      </c>
    </row>
    <row r="43" spans="1:12">
      <c r="A43" s="37"/>
      <c r="B43" s="152"/>
      <c r="C43" s="227" t="s">
        <v>383</v>
      </c>
      <c r="D43" s="272" t="s">
        <v>165</v>
      </c>
      <c r="E43" s="272" t="s">
        <v>165</v>
      </c>
      <c r="F43" s="272" t="s">
        <v>165</v>
      </c>
      <c r="G43" s="272" t="s">
        <v>165</v>
      </c>
      <c r="H43" s="272" t="s">
        <v>165</v>
      </c>
      <c r="I43" s="272" t="s">
        <v>165</v>
      </c>
      <c r="J43" s="272" t="s">
        <v>165</v>
      </c>
      <c r="K43" s="272" t="s">
        <v>165</v>
      </c>
      <c r="L43" s="273" t="s">
        <v>165</v>
      </c>
    </row>
    <row r="44" spans="1:12">
      <c r="A44" s="37"/>
      <c r="B44" s="152"/>
      <c r="C44" s="227"/>
      <c r="D44" s="272" t="s">
        <v>321</v>
      </c>
      <c r="E44" s="272" t="s">
        <v>321</v>
      </c>
      <c r="F44" s="272" t="s">
        <v>321</v>
      </c>
      <c r="G44" s="272" t="s">
        <v>321</v>
      </c>
      <c r="H44" s="272" t="s">
        <v>321</v>
      </c>
      <c r="I44" s="272" t="s">
        <v>321</v>
      </c>
      <c r="J44" s="272" t="s">
        <v>321</v>
      </c>
      <c r="K44" s="272" t="s">
        <v>321</v>
      </c>
      <c r="L44" s="273" t="s">
        <v>321</v>
      </c>
    </row>
    <row r="45" spans="1:12" ht="25.5">
      <c r="A45" s="37"/>
      <c r="B45" s="152"/>
      <c r="C45" s="227" t="s">
        <v>384</v>
      </c>
      <c r="D45" s="272" t="s">
        <v>165</v>
      </c>
      <c r="E45" s="272" t="s">
        <v>165</v>
      </c>
      <c r="F45" s="272" t="s">
        <v>165</v>
      </c>
      <c r="G45" s="272" t="s">
        <v>165</v>
      </c>
      <c r="H45" s="272" t="s">
        <v>165</v>
      </c>
      <c r="I45" s="272" t="s">
        <v>165</v>
      </c>
      <c r="J45" s="272" t="s">
        <v>165</v>
      </c>
      <c r="K45" s="272" t="s">
        <v>165</v>
      </c>
      <c r="L45" s="273" t="s">
        <v>165</v>
      </c>
    </row>
    <row r="46" spans="1:12">
      <c r="A46" s="37"/>
      <c r="B46" s="152"/>
      <c r="C46" s="227"/>
      <c r="D46" s="272" t="s">
        <v>321</v>
      </c>
      <c r="E46" s="272" t="s">
        <v>321</v>
      </c>
      <c r="F46" s="272" t="s">
        <v>321</v>
      </c>
      <c r="G46" s="272" t="s">
        <v>321</v>
      </c>
      <c r="H46" s="272" t="s">
        <v>321</v>
      </c>
      <c r="I46" s="272" t="s">
        <v>321</v>
      </c>
      <c r="J46" s="272" t="s">
        <v>321</v>
      </c>
      <c r="K46" s="272" t="s">
        <v>321</v>
      </c>
      <c r="L46" s="273" t="s">
        <v>321</v>
      </c>
    </row>
    <row r="47" spans="1:12">
      <c r="A47" s="37"/>
      <c r="B47" s="152"/>
      <c r="C47" s="227" t="s">
        <v>385</v>
      </c>
      <c r="D47" s="272" t="s">
        <v>165</v>
      </c>
      <c r="E47" s="272" t="s">
        <v>165</v>
      </c>
      <c r="F47" s="272" t="s">
        <v>165</v>
      </c>
      <c r="G47" s="272" t="s">
        <v>165</v>
      </c>
      <c r="H47" s="272" t="s">
        <v>165</v>
      </c>
      <c r="I47" s="272" t="s">
        <v>165</v>
      </c>
      <c r="J47" s="272" t="s">
        <v>165</v>
      </c>
      <c r="K47" s="272" t="s">
        <v>165</v>
      </c>
      <c r="L47" s="273" t="s">
        <v>165</v>
      </c>
    </row>
    <row r="48" spans="1:12">
      <c r="A48" s="37"/>
      <c r="B48" s="152"/>
      <c r="C48" s="227"/>
      <c r="D48" s="272" t="s">
        <v>321</v>
      </c>
      <c r="E48" s="272" t="s">
        <v>321</v>
      </c>
      <c r="F48" s="272" t="s">
        <v>321</v>
      </c>
      <c r="G48" s="272" t="s">
        <v>321</v>
      </c>
      <c r="H48" s="272" t="s">
        <v>321</v>
      </c>
      <c r="I48" s="272" t="s">
        <v>321</v>
      </c>
      <c r="J48" s="272" t="s">
        <v>321</v>
      </c>
      <c r="K48" s="272" t="s">
        <v>321</v>
      </c>
      <c r="L48" s="273" t="s">
        <v>321</v>
      </c>
    </row>
    <row r="49" spans="1:12" ht="16.149999999999999" customHeight="1">
      <c r="A49" s="37"/>
      <c r="B49" s="152"/>
      <c r="C49" s="227" t="s">
        <v>386</v>
      </c>
      <c r="D49" s="272" t="s">
        <v>165</v>
      </c>
      <c r="E49" s="272" t="s">
        <v>165</v>
      </c>
      <c r="F49" s="272" t="s">
        <v>165</v>
      </c>
      <c r="G49" s="272" t="s">
        <v>165</v>
      </c>
      <c r="H49" s="272" t="s">
        <v>165</v>
      </c>
      <c r="I49" s="272" t="s">
        <v>165</v>
      </c>
      <c r="J49" s="272" t="s">
        <v>165</v>
      </c>
      <c r="K49" s="272" t="s">
        <v>165</v>
      </c>
      <c r="L49" s="273" t="s">
        <v>165</v>
      </c>
    </row>
    <row r="50" spans="1:12" ht="16.149999999999999" customHeight="1">
      <c r="A50" s="37"/>
      <c r="B50" s="152"/>
      <c r="C50" s="227"/>
      <c r="D50" s="272" t="s">
        <v>321</v>
      </c>
      <c r="E50" s="272" t="s">
        <v>321</v>
      </c>
      <c r="F50" s="272" t="s">
        <v>321</v>
      </c>
      <c r="G50" s="272" t="s">
        <v>321</v>
      </c>
      <c r="H50" s="272" t="s">
        <v>321</v>
      </c>
      <c r="I50" s="272" t="s">
        <v>321</v>
      </c>
      <c r="J50" s="272" t="s">
        <v>321</v>
      </c>
      <c r="K50" s="272" t="s">
        <v>321</v>
      </c>
      <c r="L50" s="273" t="s">
        <v>321</v>
      </c>
    </row>
    <row r="51" spans="1:12" ht="16.149999999999999" customHeight="1">
      <c r="A51" s="37"/>
      <c r="B51" s="152"/>
      <c r="C51" s="227" t="s">
        <v>815</v>
      </c>
      <c r="D51" s="272" t="s">
        <v>165</v>
      </c>
      <c r="E51" s="272" t="s">
        <v>165</v>
      </c>
      <c r="F51" s="272" t="s">
        <v>165</v>
      </c>
      <c r="G51" s="272" t="s">
        <v>165</v>
      </c>
      <c r="H51" s="272" t="s">
        <v>165</v>
      </c>
      <c r="I51" s="272" t="s">
        <v>165</v>
      </c>
      <c r="J51" s="272" t="s">
        <v>165</v>
      </c>
      <c r="K51" s="272" t="s">
        <v>165</v>
      </c>
      <c r="L51" s="273" t="s">
        <v>165</v>
      </c>
    </row>
    <row r="52" spans="1:12" ht="16.149999999999999" customHeight="1">
      <c r="A52" s="37"/>
      <c r="B52" s="152"/>
      <c r="C52" s="227"/>
      <c r="D52" s="272" t="s">
        <v>321</v>
      </c>
      <c r="E52" s="272" t="s">
        <v>321</v>
      </c>
      <c r="F52" s="272" t="s">
        <v>321</v>
      </c>
      <c r="G52" s="272" t="s">
        <v>321</v>
      </c>
      <c r="H52" s="272" t="s">
        <v>321</v>
      </c>
      <c r="I52" s="272" t="s">
        <v>321</v>
      </c>
      <c r="J52" s="272" t="s">
        <v>321</v>
      </c>
      <c r="K52" s="272" t="s">
        <v>321</v>
      </c>
      <c r="L52" s="273" t="s">
        <v>321</v>
      </c>
    </row>
    <row r="53" spans="1:12">
      <c r="A53" s="37"/>
      <c r="B53" s="152"/>
      <c r="C53" s="227" t="s">
        <v>707</v>
      </c>
      <c r="D53" s="272" t="s">
        <v>165</v>
      </c>
      <c r="E53" s="272" t="s">
        <v>165</v>
      </c>
      <c r="F53" s="272" t="s">
        <v>165</v>
      </c>
      <c r="G53" s="272" t="s">
        <v>165</v>
      </c>
      <c r="H53" s="272" t="s">
        <v>165</v>
      </c>
      <c r="I53" s="272" t="s">
        <v>165</v>
      </c>
      <c r="J53" s="272" t="s">
        <v>165</v>
      </c>
      <c r="K53" s="272" t="s">
        <v>165</v>
      </c>
      <c r="L53" s="273" t="s">
        <v>165</v>
      </c>
    </row>
    <row r="54" spans="1:12">
      <c r="A54" s="37"/>
      <c r="B54" s="152"/>
      <c r="C54" s="227"/>
      <c r="D54" s="272" t="s">
        <v>321</v>
      </c>
      <c r="E54" s="272" t="s">
        <v>321</v>
      </c>
      <c r="F54" s="272" t="s">
        <v>321</v>
      </c>
      <c r="G54" s="272" t="s">
        <v>321</v>
      </c>
      <c r="H54" s="272" t="s">
        <v>321</v>
      </c>
      <c r="I54" s="272" t="s">
        <v>321</v>
      </c>
      <c r="J54" s="272" t="s">
        <v>321</v>
      </c>
      <c r="K54" s="272" t="s">
        <v>321</v>
      </c>
      <c r="L54" s="273" t="s">
        <v>321</v>
      </c>
    </row>
    <row r="55" spans="1:12">
      <c r="A55" s="37"/>
      <c r="B55" s="152"/>
      <c r="C55" s="274" t="s">
        <v>387</v>
      </c>
      <c r="D55" s="272"/>
      <c r="E55" s="195"/>
      <c r="F55" s="195"/>
      <c r="G55" s="195"/>
      <c r="H55" s="195"/>
      <c r="I55" s="195"/>
      <c r="J55" s="195"/>
      <c r="K55" s="195"/>
      <c r="L55" s="252"/>
    </row>
    <row r="56" spans="1:12">
      <c r="A56" s="37"/>
      <c r="B56" s="152"/>
      <c r="C56" s="227"/>
      <c r="D56" s="272"/>
      <c r="E56" s="195"/>
      <c r="F56" s="195"/>
      <c r="G56" s="195"/>
      <c r="H56" s="195"/>
      <c r="I56" s="195"/>
      <c r="J56" s="195"/>
      <c r="K56" s="195"/>
      <c r="L56" s="252"/>
    </row>
    <row r="57" spans="1:12">
      <c r="A57" s="37"/>
      <c r="B57" s="152"/>
      <c r="C57" s="227" t="s">
        <v>49</v>
      </c>
      <c r="D57" s="272" t="s">
        <v>165</v>
      </c>
      <c r="E57" s="272" t="s">
        <v>165</v>
      </c>
      <c r="F57" s="272" t="s">
        <v>165</v>
      </c>
      <c r="G57" s="272" t="s">
        <v>165</v>
      </c>
      <c r="H57" s="272" t="s">
        <v>165</v>
      </c>
      <c r="I57" s="272" t="s">
        <v>165</v>
      </c>
      <c r="J57" s="272" t="s">
        <v>165</v>
      </c>
      <c r="K57" s="272" t="s">
        <v>165</v>
      </c>
      <c r="L57" s="273" t="s">
        <v>165</v>
      </c>
    </row>
    <row r="58" spans="1:12">
      <c r="A58" s="37"/>
      <c r="B58" s="152"/>
      <c r="C58" s="227"/>
      <c r="D58" s="272" t="s">
        <v>321</v>
      </c>
      <c r="E58" s="272" t="s">
        <v>321</v>
      </c>
      <c r="F58" s="272" t="s">
        <v>321</v>
      </c>
      <c r="G58" s="272" t="s">
        <v>321</v>
      </c>
      <c r="H58" s="272" t="s">
        <v>321</v>
      </c>
      <c r="I58" s="272" t="s">
        <v>321</v>
      </c>
      <c r="J58" s="272" t="s">
        <v>321</v>
      </c>
      <c r="K58" s="272" t="s">
        <v>321</v>
      </c>
      <c r="L58" s="273" t="s">
        <v>321</v>
      </c>
    </row>
    <row r="59" spans="1:12">
      <c r="A59" s="37"/>
      <c r="B59" s="152"/>
      <c r="C59" s="227" t="s">
        <v>388</v>
      </c>
      <c r="D59" s="272" t="s">
        <v>165</v>
      </c>
      <c r="E59" s="272" t="s">
        <v>165</v>
      </c>
      <c r="F59" s="272" t="s">
        <v>165</v>
      </c>
      <c r="G59" s="272" t="s">
        <v>165</v>
      </c>
      <c r="H59" s="272" t="s">
        <v>165</v>
      </c>
      <c r="I59" s="272" t="s">
        <v>165</v>
      </c>
      <c r="J59" s="272" t="s">
        <v>165</v>
      </c>
      <c r="K59" s="272" t="s">
        <v>165</v>
      </c>
      <c r="L59" s="273" t="s">
        <v>165</v>
      </c>
    </row>
    <row r="60" spans="1:12">
      <c r="A60" s="37"/>
      <c r="B60" s="152"/>
      <c r="C60" s="227"/>
      <c r="D60" s="272" t="s">
        <v>321</v>
      </c>
      <c r="E60" s="272" t="s">
        <v>321</v>
      </c>
      <c r="F60" s="272" t="s">
        <v>321</v>
      </c>
      <c r="G60" s="272" t="s">
        <v>321</v>
      </c>
      <c r="H60" s="272" t="s">
        <v>321</v>
      </c>
      <c r="I60" s="272" t="s">
        <v>321</v>
      </c>
      <c r="J60" s="272" t="s">
        <v>321</v>
      </c>
      <c r="K60" s="272" t="s">
        <v>321</v>
      </c>
      <c r="L60" s="273" t="s">
        <v>321</v>
      </c>
    </row>
    <row r="61" spans="1:12">
      <c r="A61" s="37"/>
      <c r="B61" s="152"/>
      <c r="C61" s="227" t="s">
        <v>50</v>
      </c>
      <c r="D61" s="272" t="s">
        <v>165</v>
      </c>
      <c r="E61" s="272" t="s">
        <v>165</v>
      </c>
      <c r="F61" s="272" t="s">
        <v>165</v>
      </c>
      <c r="G61" s="272" t="s">
        <v>165</v>
      </c>
      <c r="H61" s="272" t="s">
        <v>165</v>
      </c>
      <c r="I61" s="272" t="s">
        <v>165</v>
      </c>
      <c r="J61" s="272" t="s">
        <v>165</v>
      </c>
      <c r="K61" s="272" t="s">
        <v>165</v>
      </c>
      <c r="L61" s="273" t="s">
        <v>165</v>
      </c>
    </row>
    <row r="62" spans="1:12">
      <c r="A62" s="37"/>
      <c r="B62" s="152"/>
      <c r="C62" s="227"/>
      <c r="D62" s="272" t="s">
        <v>321</v>
      </c>
      <c r="E62" s="272" t="s">
        <v>321</v>
      </c>
      <c r="F62" s="272" t="s">
        <v>321</v>
      </c>
      <c r="G62" s="272" t="s">
        <v>321</v>
      </c>
      <c r="H62" s="272" t="s">
        <v>321</v>
      </c>
      <c r="I62" s="272" t="s">
        <v>321</v>
      </c>
      <c r="J62" s="272" t="s">
        <v>321</v>
      </c>
      <c r="K62" s="272" t="s">
        <v>321</v>
      </c>
      <c r="L62" s="273" t="s">
        <v>321</v>
      </c>
    </row>
    <row r="63" spans="1:12">
      <c r="A63" s="37"/>
      <c r="B63" s="152"/>
      <c r="C63" s="227" t="s">
        <v>389</v>
      </c>
      <c r="D63" s="272" t="s">
        <v>165</v>
      </c>
      <c r="E63" s="272" t="s">
        <v>165</v>
      </c>
      <c r="F63" s="272" t="s">
        <v>165</v>
      </c>
      <c r="G63" s="272" t="s">
        <v>165</v>
      </c>
      <c r="H63" s="272" t="s">
        <v>165</v>
      </c>
      <c r="I63" s="272" t="s">
        <v>165</v>
      </c>
      <c r="J63" s="272" t="s">
        <v>165</v>
      </c>
      <c r="K63" s="272" t="s">
        <v>165</v>
      </c>
      <c r="L63" s="273" t="s">
        <v>165</v>
      </c>
    </row>
    <row r="64" spans="1:12">
      <c r="A64" s="37"/>
      <c r="B64" s="181"/>
      <c r="C64" s="227"/>
      <c r="D64" s="272" t="s">
        <v>321</v>
      </c>
      <c r="E64" s="272" t="s">
        <v>321</v>
      </c>
      <c r="F64" s="272" t="s">
        <v>321</v>
      </c>
      <c r="G64" s="272" t="s">
        <v>321</v>
      </c>
      <c r="H64" s="272" t="s">
        <v>321</v>
      </c>
      <c r="I64" s="272" t="s">
        <v>321</v>
      </c>
      <c r="J64" s="272" t="s">
        <v>321</v>
      </c>
      <c r="K64" s="272" t="s">
        <v>321</v>
      </c>
      <c r="L64" s="273" t="s">
        <v>321</v>
      </c>
    </row>
    <row r="65" spans="1:12">
      <c r="A65" s="37"/>
      <c r="B65" s="152"/>
      <c r="C65" s="227" t="s">
        <v>815</v>
      </c>
      <c r="D65" s="272" t="s">
        <v>165</v>
      </c>
      <c r="E65" s="272" t="s">
        <v>165</v>
      </c>
      <c r="F65" s="272" t="s">
        <v>165</v>
      </c>
      <c r="G65" s="272" t="s">
        <v>165</v>
      </c>
      <c r="H65" s="272" t="s">
        <v>165</v>
      </c>
      <c r="I65" s="272" t="s">
        <v>165</v>
      </c>
      <c r="J65" s="272" t="s">
        <v>165</v>
      </c>
      <c r="K65" s="272" t="s">
        <v>165</v>
      </c>
      <c r="L65" s="273" t="s">
        <v>165</v>
      </c>
    </row>
    <row r="66" spans="1:12" ht="16.149999999999999" customHeight="1">
      <c r="A66" s="37"/>
      <c r="B66" s="152"/>
      <c r="C66" s="229"/>
      <c r="D66" s="275" t="s">
        <v>321</v>
      </c>
      <c r="E66" s="275" t="s">
        <v>321</v>
      </c>
      <c r="F66" s="275" t="s">
        <v>321</v>
      </c>
      <c r="G66" s="275" t="s">
        <v>321</v>
      </c>
      <c r="H66" s="275" t="s">
        <v>321</v>
      </c>
      <c r="I66" s="275" t="s">
        <v>321</v>
      </c>
      <c r="J66" s="275" t="s">
        <v>321</v>
      </c>
      <c r="K66" s="275" t="s">
        <v>321</v>
      </c>
      <c r="L66" s="276" t="s">
        <v>321</v>
      </c>
    </row>
    <row r="67" spans="1:12">
      <c r="A67" s="37"/>
      <c r="B67" s="181"/>
      <c r="C67" s="33" t="s">
        <v>352</v>
      </c>
      <c r="L67" s="36"/>
    </row>
    <row r="68" spans="1:12" ht="13.5" thickBot="1">
      <c r="A68" s="39"/>
      <c r="B68" s="189"/>
      <c r="C68" s="185"/>
      <c r="D68" s="185"/>
      <c r="E68" s="185"/>
      <c r="F68" s="185"/>
      <c r="G68" s="185"/>
      <c r="H68" s="185"/>
      <c r="I68" s="185"/>
      <c r="J68" s="185"/>
      <c r="K68" s="185"/>
      <c r="L68" s="40"/>
    </row>
  </sheetData>
  <mergeCells count="10">
    <mergeCell ref="A7:A8"/>
    <mergeCell ref="D11:G11"/>
    <mergeCell ref="C21:G21"/>
    <mergeCell ref="C24:L24"/>
    <mergeCell ref="D17:E17"/>
    <mergeCell ref="D18:E18"/>
    <mergeCell ref="D15:E15"/>
    <mergeCell ref="C7:L8"/>
    <mergeCell ref="D16:G16"/>
    <mergeCell ref="C22:G22"/>
  </mergeCells>
  <pageMargins left="0.5" right="0.5" top="0.5" bottom="0.5" header="0.5" footer="0.5"/>
  <pageSetup scale="54"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50">
    <pageSetUpPr fitToPage="1"/>
  </sheetPr>
  <dimension ref="A2:E71"/>
  <sheetViews>
    <sheetView showGridLines="0" view="pageBreakPreview" zoomScaleNormal="70" zoomScaleSheetLayoutView="100" workbookViewId="0">
      <selection activeCell="C48" sqref="C48"/>
    </sheetView>
  </sheetViews>
  <sheetFormatPr defaultColWidth="8.85546875" defaultRowHeight="12.75"/>
  <cols>
    <col min="1" max="1" width="11.85546875" style="33" bestFit="1" customWidth="1"/>
    <col min="2" max="2" width="8.85546875" style="186"/>
    <col min="3" max="3" width="85.7109375" style="33" customWidth="1"/>
    <col min="4" max="4" width="20.7109375" style="33" customWidth="1"/>
    <col min="5" max="5" width="23" style="33" customWidth="1"/>
    <col min="6" max="6" width="11.7109375" style="33" customWidth="1"/>
    <col min="7" max="7" width="12.7109375" style="33" bestFit="1" customWidth="1"/>
    <col min="8" max="16384" width="8.85546875" style="33"/>
  </cols>
  <sheetData>
    <row r="2" spans="1:5">
      <c r="A2" s="4"/>
      <c r="B2" s="90" t="s">
        <v>3</v>
      </c>
      <c r="D2" s="4"/>
      <c r="E2" s="4"/>
    </row>
    <row r="3" spans="1:5">
      <c r="A3" s="4"/>
      <c r="B3" s="90" t="s">
        <v>60</v>
      </c>
      <c r="D3" s="4"/>
      <c r="E3" s="4"/>
    </row>
    <row r="4" spans="1:5">
      <c r="A4" s="4"/>
      <c r="B4" s="33"/>
      <c r="D4" s="4"/>
      <c r="E4" s="4"/>
    </row>
    <row r="5" spans="1:5">
      <c r="A5" s="43" t="s">
        <v>128</v>
      </c>
      <c r="B5" s="90" t="s">
        <v>583</v>
      </c>
      <c r="D5" s="4"/>
      <c r="E5" s="4"/>
    </row>
    <row r="6" spans="1:5" ht="13.5" thickBot="1">
      <c r="A6" s="4"/>
      <c r="B6" s="22"/>
      <c r="C6" s="4"/>
      <c r="D6" s="4"/>
      <c r="E6" s="4"/>
    </row>
    <row r="7" spans="1:5" ht="25.5">
      <c r="A7" s="1505" t="s">
        <v>2</v>
      </c>
      <c r="B7" s="451" t="s">
        <v>88</v>
      </c>
      <c r="C7" s="1485" t="s">
        <v>26</v>
      </c>
      <c r="D7" s="6" t="s">
        <v>200</v>
      </c>
      <c r="E7" s="7" t="s">
        <v>28</v>
      </c>
    </row>
    <row r="8" spans="1:5">
      <c r="A8" s="1506"/>
      <c r="B8" s="117"/>
      <c r="C8" s="1488"/>
      <c r="D8" s="10" t="s">
        <v>7</v>
      </c>
      <c r="E8" s="11" t="s">
        <v>7</v>
      </c>
    </row>
    <row r="9" spans="1:5" ht="32.450000000000003" customHeight="1">
      <c r="A9" s="182" t="s">
        <v>390</v>
      </c>
      <c r="B9" s="181">
        <v>30.8</v>
      </c>
      <c r="C9" s="41" t="s">
        <v>391</v>
      </c>
      <c r="D9" s="195"/>
      <c r="E9" s="252"/>
    </row>
    <row r="10" spans="1:5">
      <c r="A10" s="177" t="s">
        <v>392</v>
      </c>
      <c r="B10" s="181"/>
      <c r="C10" s="277" t="s">
        <v>670</v>
      </c>
      <c r="D10" s="195"/>
      <c r="E10" s="252"/>
    </row>
    <row r="11" spans="1:5" ht="42" customHeight="1">
      <c r="A11" s="177" t="s">
        <v>393</v>
      </c>
      <c r="B11" s="181" t="s">
        <v>394</v>
      </c>
      <c r="C11" s="124" t="s">
        <v>632</v>
      </c>
      <c r="D11" s="195"/>
      <c r="E11" s="252"/>
    </row>
    <row r="12" spans="1:5">
      <c r="A12" s="177" t="s">
        <v>395</v>
      </c>
      <c r="B12" s="181"/>
      <c r="C12" s="124" t="s">
        <v>396</v>
      </c>
      <c r="D12" s="195"/>
      <c r="E12" s="252"/>
    </row>
    <row r="13" spans="1:5">
      <c r="A13" s="177"/>
      <c r="B13" s="181"/>
      <c r="C13" s="419" t="s">
        <v>397</v>
      </c>
      <c r="D13" s="195"/>
      <c r="E13" s="252"/>
    </row>
    <row r="14" spans="1:5">
      <c r="A14" s="177"/>
      <c r="B14" s="181"/>
      <c r="C14" s="419" t="s">
        <v>398</v>
      </c>
      <c r="D14" s="195"/>
      <c r="E14" s="252"/>
    </row>
    <row r="15" spans="1:5">
      <c r="A15" s="177"/>
      <c r="B15" s="181"/>
      <c r="C15" s="419" t="s">
        <v>399</v>
      </c>
      <c r="D15" s="200"/>
      <c r="E15" s="254"/>
    </row>
    <row r="16" spans="1:5">
      <c r="A16" s="177"/>
      <c r="B16" s="181"/>
      <c r="C16" s="20"/>
      <c r="D16" s="193"/>
      <c r="E16" s="251"/>
    </row>
    <row r="17" spans="1:5">
      <c r="A17" s="177" t="s">
        <v>400</v>
      </c>
      <c r="B17" s="181"/>
      <c r="C17" s="124" t="s">
        <v>401</v>
      </c>
      <c r="D17" s="195"/>
      <c r="E17" s="252"/>
    </row>
    <row r="18" spans="1:5">
      <c r="A18" s="177"/>
      <c r="B18" s="181"/>
      <c r="C18" s="20"/>
      <c r="D18" s="195"/>
      <c r="E18" s="252"/>
    </row>
    <row r="19" spans="1:5">
      <c r="A19" s="177" t="s">
        <v>402</v>
      </c>
      <c r="B19" s="181"/>
      <c r="C19" s="20" t="s">
        <v>671</v>
      </c>
      <c r="D19" s="195"/>
      <c r="E19" s="252"/>
    </row>
    <row r="20" spans="1:5">
      <c r="A20" s="177"/>
      <c r="B20" s="181"/>
      <c r="C20" s="20" t="s">
        <v>403</v>
      </c>
      <c r="D20" s="195"/>
      <c r="E20" s="252"/>
    </row>
    <row r="21" spans="1:5">
      <c r="A21" s="177"/>
      <c r="B21" s="181"/>
      <c r="C21" s="20" t="s">
        <v>404</v>
      </c>
      <c r="D21" s="195"/>
      <c r="E21" s="252"/>
    </row>
    <row r="22" spans="1:5">
      <c r="A22" s="177"/>
      <c r="B22" s="181"/>
      <c r="C22" s="20"/>
      <c r="D22" s="195"/>
      <c r="E22" s="252"/>
    </row>
    <row r="23" spans="1:5">
      <c r="A23" s="177" t="s">
        <v>405</v>
      </c>
      <c r="B23" s="181" t="s">
        <v>406</v>
      </c>
      <c r="C23" s="124" t="s">
        <v>407</v>
      </c>
      <c r="D23" s="195"/>
      <c r="E23" s="252"/>
    </row>
    <row r="24" spans="1:5" ht="25.5">
      <c r="A24" s="177" t="s">
        <v>408</v>
      </c>
      <c r="B24" s="181"/>
      <c r="C24" s="124" t="s">
        <v>409</v>
      </c>
      <c r="D24" s="195"/>
      <c r="E24" s="252"/>
    </row>
    <row r="25" spans="1:5">
      <c r="A25" s="177"/>
      <c r="B25" s="181"/>
      <c r="C25" s="124" t="s">
        <v>396</v>
      </c>
      <c r="D25" s="195"/>
      <c r="E25" s="252"/>
    </row>
    <row r="26" spans="1:5">
      <c r="A26" s="177"/>
      <c r="B26" s="181"/>
      <c r="C26" s="419" t="s">
        <v>397</v>
      </c>
      <c r="D26" s="195"/>
      <c r="E26" s="252"/>
    </row>
    <row r="27" spans="1:5">
      <c r="A27" s="177"/>
      <c r="B27" s="181"/>
      <c r="C27" s="419" t="s">
        <v>398</v>
      </c>
      <c r="D27" s="195"/>
      <c r="E27" s="252"/>
    </row>
    <row r="28" spans="1:5">
      <c r="A28" s="177"/>
      <c r="B28" s="181"/>
      <c r="C28" s="419" t="s">
        <v>399</v>
      </c>
      <c r="D28" s="200"/>
      <c r="E28" s="254"/>
    </row>
    <row r="29" spans="1:5">
      <c r="A29" s="177"/>
      <c r="B29" s="181"/>
      <c r="C29" s="278"/>
      <c r="D29" s="195"/>
      <c r="E29" s="252"/>
    </row>
    <row r="30" spans="1:5">
      <c r="A30" s="177" t="s">
        <v>410</v>
      </c>
      <c r="B30" s="181"/>
      <c r="C30" s="124" t="s">
        <v>411</v>
      </c>
      <c r="D30" s="200"/>
      <c r="E30" s="254"/>
    </row>
    <row r="31" spans="1:5">
      <c r="A31" s="177" t="s">
        <v>408</v>
      </c>
      <c r="B31" s="181"/>
      <c r="C31" s="124" t="s">
        <v>412</v>
      </c>
      <c r="D31" s="195"/>
      <c r="E31" s="252"/>
    </row>
    <row r="32" spans="1:5">
      <c r="A32" s="177"/>
      <c r="B32" s="181"/>
      <c r="C32" s="419" t="s">
        <v>397</v>
      </c>
      <c r="D32" s="195"/>
      <c r="E32" s="252"/>
    </row>
    <row r="33" spans="1:5">
      <c r="A33" s="177"/>
      <c r="B33" s="181"/>
      <c r="C33" s="419" t="s">
        <v>398</v>
      </c>
      <c r="D33" s="195"/>
      <c r="E33" s="252"/>
    </row>
    <row r="34" spans="1:5">
      <c r="A34" s="177"/>
      <c r="B34" s="181"/>
      <c r="C34" s="419" t="s">
        <v>399</v>
      </c>
      <c r="D34" s="200"/>
      <c r="E34" s="254"/>
    </row>
    <row r="35" spans="1:5">
      <c r="A35" s="177"/>
      <c r="B35" s="181"/>
      <c r="C35" s="278"/>
      <c r="D35" s="193"/>
      <c r="E35" s="251"/>
    </row>
    <row r="36" spans="1:5">
      <c r="A36" s="177" t="s">
        <v>413</v>
      </c>
      <c r="B36" s="181"/>
      <c r="C36" s="124" t="s">
        <v>672</v>
      </c>
      <c r="D36" s="195"/>
      <c r="E36" s="252"/>
    </row>
    <row r="37" spans="1:5">
      <c r="A37" s="177" t="s">
        <v>414</v>
      </c>
      <c r="B37" s="181"/>
      <c r="C37" s="124" t="s">
        <v>415</v>
      </c>
      <c r="D37" s="195"/>
      <c r="E37" s="252"/>
    </row>
    <row r="38" spans="1:5">
      <c r="A38" s="177" t="s">
        <v>416</v>
      </c>
      <c r="B38" s="181"/>
      <c r="C38" s="124" t="s">
        <v>401</v>
      </c>
      <c r="D38" s="195"/>
      <c r="E38" s="252"/>
    </row>
    <row r="39" spans="1:5">
      <c r="A39" s="177"/>
      <c r="B39" s="181"/>
      <c r="C39" s="124"/>
      <c r="D39" s="195"/>
      <c r="E39" s="252"/>
    </row>
    <row r="40" spans="1:5">
      <c r="A40" s="177"/>
      <c r="B40" s="181"/>
      <c r="C40" s="279" t="s">
        <v>417</v>
      </c>
      <c r="D40" s="195"/>
      <c r="E40" s="252"/>
    </row>
    <row r="41" spans="1:5" ht="27" customHeight="1">
      <c r="A41" s="177" t="s">
        <v>418</v>
      </c>
      <c r="B41" s="181" t="s">
        <v>419</v>
      </c>
      <c r="C41" s="124" t="s">
        <v>612</v>
      </c>
      <c r="D41" s="195"/>
      <c r="E41" s="252"/>
    </row>
    <row r="42" spans="1:5">
      <c r="A42" s="177" t="s">
        <v>420</v>
      </c>
      <c r="B42" s="181"/>
      <c r="C42" s="124" t="s">
        <v>747</v>
      </c>
      <c r="D42" s="195"/>
      <c r="E42" s="252"/>
    </row>
    <row r="43" spans="1:5">
      <c r="A43" s="177"/>
      <c r="B43" s="181"/>
      <c r="C43" s="124" t="s">
        <v>396</v>
      </c>
      <c r="D43" s="195"/>
      <c r="E43" s="252"/>
    </row>
    <row r="44" spans="1:5">
      <c r="A44" s="177"/>
      <c r="B44" s="181"/>
      <c r="C44" s="419" t="s">
        <v>397</v>
      </c>
      <c r="D44" s="195"/>
      <c r="E44" s="252"/>
    </row>
    <row r="45" spans="1:5">
      <c r="A45" s="177"/>
      <c r="B45" s="181"/>
      <c r="C45" s="419" t="s">
        <v>398</v>
      </c>
      <c r="D45" s="195"/>
      <c r="E45" s="252"/>
    </row>
    <row r="46" spans="1:5">
      <c r="A46" s="177"/>
      <c r="B46" s="181"/>
      <c r="C46" s="419" t="s">
        <v>399</v>
      </c>
      <c r="D46" s="200"/>
      <c r="E46" s="254"/>
    </row>
    <row r="47" spans="1:5">
      <c r="A47" s="177"/>
      <c r="B47" s="181"/>
      <c r="C47" s="278"/>
      <c r="D47" s="195"/>
      <c r="E47" s="252"/>
    </row>
    <row r="48" spans="1:5">
      <c r="A48" s="177"/>
      <c r="B48" s="181"/>
      <c r="C48" s="124" t="s">
        <v>421</v>
      </c>
      <c r="D48" s="200"/>
      <c r="E48" s="254"/>
    </row>
    <row r="49" spans="1:5">
      <c r="A49" s="177"/>
      <c r="B49" s="181"/>
      <c r="C49" s="124" t="s">
        <v>422</v>
      </c>
      <c r="D49" s="195"/>
      <c r="E49" s="252"/>
    </row>
    <row r="50" spans="1:5">
      <c r="A50" s="177"/>
      <c r="B50" s="181"/>
      <c r="C50" s="419" t="s">
        <v>397</v>
      </c>
      <c r="D50" s="195"/>
      <c r="E50" s="252"/>
    </row>
    <row r="51" spans="1:5">
      <c r="A51" s="177"/>
      <c r="B51" s="181"/>
      <c r="C51" s="419" t="s">
        <v>398</v>
      </c>
      <c r="D51" s="195"/>
      <c r="E51" s="252"/>
    </row>
    <row r="52" spans="1:5">
      <c r="A52" s="177"/>
      <c r="B52" s="181"/>
      <c r="C52" s="419" t="s">
        <v>399</v>
      </c>
      <c r="D52" s="200"/>
      <c r="E52" s="254"/>
    </row>
    <row r="53" spans="1:5">
      <c r="A53" s="177"/>
      <c r="B53" s="181"/>
      <c r="C53" s="279"/>
      <c r="D53" s="195"/>
      <c r="E53" s="252"/>
    </row>
    <row r="54" spans="1:5">
      <c r="A54" s="177" t="s">
        <v>423</v>
      </c>
      <c r="B54" s="181"/>
      <c r="C54" s="124" t="s">
        <v>424</v>
      </c>
      <c r="D54" s="195"/>
      <c r="E54" s="252"/>
    </row>
    <row r="55" spans="1:5">
      <c r="A55" s="177"/>
      <c r="B55" s="181"/>
      <c r="C55" s="279"/>
      <c r="D55" s="195"/>
      <c r="E55" s="252"/>
    </row>
    <row r="56" spans="1:5">
      <c r="A56" s="177" t="s">
        <v>425</v>
      </c>
      <c r="B56" s="181"/>
      <c r="C56" s="124" t="s">
        <v>426</v>
      </c>
      <c r="D56" s="195"/>
      <c r="E56" s="252"/>
    </row>
    <row r="57" spans="1:5">
      <c r="A57" s="177"/>
      <c r="B57" s="181"/>
      <c r="C57" s="279"/>
      <c r="D57" s="195"/>
      <c r="E57" s="252"/>
    </row>
    <row r="58" spans="1:5" ht="55.15" customHeight="1">
      <c r="A58" s="177" t="s">
        <v>427</v>
      </c>
      <c r="B58" s="181" t="s">
        <v>428</v>
      </c>
      <c r="C58" s="124" t="s">
        <v>633</v>
      </c>
      <c r="D58" s="195"/>
      <c r="E58" s="252"/>
    </row>
    <row r="59" spans="1:5">
      <c r="A59" s="177" t="s">
        <v>429</v>
      </c>
      <c r="B59" s="181"/>
      <c r="C59" s="124" t="s">
        <v>396</v>
      </c>
      <c r="D59" s="195"/>
      <c r="E59" s="252"/>
    </row>
    <row r="60" spans="1:5">
      <c r="A60" s="177"/>
      <c r="B60" s="181"/>
      <c r="C60" s="419" t="s">
        <v>397</v>
      </c>
      <c r="D60" s="195"/>
      <c r="E60" s="252"/>
    </row>
    <row r="61" spans="1:5">
      <c r="A61" s="177"/>
      <c r="B61" s="181"/>
      <c r="C61" s="419" t="s">
        <v>398</v>
      </c>
      <c r="D61" s="195"/>
      <c r="E61" s="252"/>
    </row>
    <row r="62" spans="1:5">
      <c r="A62" s="177"/>
      <c r="B62" s="181"/>
      <c r="C62" s="419" t="s">
        <v>399</v>
      </c>
      <c r="D62" s="200"/>
      <c r="E62" s="254"/>
    </row>
    <row r="63" spans="1:5">
      <c r="A63" s="177"/>
      <c r="B63" s="181"/>
      <c r="C63" s="20"/>
      <c r="D63" s="193"/>
      <c r="E63" s="251"/>
    </row>
    <row r="64" spans="1:5">
      <c r="A64" s="177" t="s">
        <v>430</v>
      </c>
      <c r="B64" s="181"/>
      <c r="C64" s="124" t="s">
        <v>431</v>
      </c>
      <c r="D64" s="195"/>
      <c r="E64" s="252"/>
    </row>
    <row r="65" spans="1:5">
      <c r="A65" s="177" t="s">
        <v>430</v>
      </c>
      <c r="B65" s="181"/>
      <c r="C65" s="124" t="s">
        <v>424</v>
      </c>
      <c r="D65" s="195"/>
      <c r="E65" s="252"/>
    </row>
    <row r="66" spans="1:5">
      <c r="A66" s="177"/>
      <c r="B66" s="181"/>
      <c r="C66" s="124"/>
      <c r="D66" s="195"/>
      <c r="E66" s="252"/>
    </row>
    <row r="67" spans="1:5">
      <c r="A67" s="177" t="s">
        <v>432</v>
      </c>
      <c r="B67" s="181"/>
      <c r="C67" s="124" t="s">
        <v>426</v>
      </c>
      <c r="D67" s="195"/>
      <c r="E67" s="252"/>
    </row>
    <row r="68" spans="1:5">
      <c r="A68" s="177"/>
      <c r="B68" s="181"/>
      <c r="C68" s="124"/>
      <c r="D68" s="195"/>
      <c r="E68" s="252"/>
    </row>
    <row r="69" spans="1:5">
      <c r="A69" s="177" t="s">
        <v>433</v>
      </c>
      <c r="B69" s="181"/>
      <c r="C69" s="227" t="s">
        <v>434</v>
      </c>
      <c r="D69" s="200"/>
      <c r="E69" s="254"/>
    </row>
    <row r="70" spans="1:5">
      <c r="A70" s="177"/>
      <c r="B70" s="181"/>
      <c r="C70" s="124"/>
      <c r="D70" s="195"/>
      <c r="E70" s="252"/>
    </row>
    <row r="71" spans="1:5" ht="36.6" customHeight="1" thickBot="1">
      <c r="A71" s="522" t="s">
        <v>811</v>
      </c>
      <c r="B71" s="523"/>
      <c r="C71" s="430" t="s">
        <v>637</v>
      </c>
      <c r="D71" s="524"/>
      <c r="E71" s="525"/>
    </row>
  </sheetData>
  <mergeCells count="2">
    <mergeCell ref="A7:A8"/>
    <mergeCell ref="C7:C8"/>
  </mergeCells>
  <pageMargins left="0.5" right="0.5" top="0.5" bottom="0.5" header="0.5" footer="0.5"/>
  <pageSetup scale="63"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1">
    <pageSetUpPr fitToPage="1"/>
  </sheetPr>
  <dimension ref="A2:H104"/>
  <sheetViews>
    <sheetView showGridLines="0" view="pageBreakPreview" topLeftCell="A84" zoomScaleNormal="70" zoomScaleSheetLayoutView="100" workbookViewId="0">
      <selection activeCell="C117" sqref="C117"/>
    </sheetView>
  </sheetViews>
  <sheetFormatPr defaultColWidth="8.85546875" defaultRowHeight="12.75"/>
  <cols>
    <col min="1" max="1" width="10.85546875" style="33" customWidth="1"/>
    <col min="2" max="2" width="8.85546875" style="186"/>
    <col min="3" max="3" width="75.7109375" style="33" customWidth="1"/>
    <col min="4" max="4" width="21.28515625" style="33" customWidth="1"/>
    <col min="5" max="5" width="22.85546875" style="33" customWidth="1"/>
    <col min="6" max="6" width="11.7109375" style="33" customWidth="1"/>
    <col min="7" max="7" width="12.7109375" style="33" bestFit="1" customWidth="1"/>
    <col min="8" max="16384" width="8.85546875" style="33"/>
  </cols>
  <sheetData>
    <row r="2" spans="1:5">
      <c r="A2" s="4"/>
      <c r="B2" s="90" t="s">
        <v>3</v>
      </c>
      <c r="D2" s="4"/>
      <c r="E2" s="4"/>
    </row>
    <row r="3" spans="1:5">
      <c r="A3" s="4"/>
      <c r="B3" s="90" t="s">
        <v>60</v>
      </c>
      <c r="D3" s="4"/>
      <c r="E3" s="4"/>
    </row>
    <row r="4" spans="1:5">
      <c r="A4" s="4"/>
      <c r="B4" s="33"/>
      <c r="D4" s="4"/>
      <c r="E4" s="4"/>
    </row>
    <row r="5" spans="1:5">
      <c r="A5" s="43" t="s">
        <v>128</v>
      </c>
      <c r="B5" s="90" t="s">
        <v>583</v>
      </c>
      <c r="D5" s="4"/>
      <c r="E5" s="4"/>
    </row>
    <row r="6" spans="1:5" ht="13.5" thickBot="1">
      <c r="A6" s="4"/>
      <c r="B6" s="22"/>
      <c r="C6" s="4"/>
      <c r="D6" s="4"/>
      <c r="E6" s="4"/>
    </row>
    <row r="7" spans="1:5" ht="25.5">
      <c r="A7" s="1505" t="s">
        <v>2</v>
      </c>
      <c r="B7" s="451" t="s">
        <v>88</v>
      </c>
      <c r="C7" s="1485" t="s">
        <v>26</v>
      </c>
      <c r="D7" s="6" t="s">
        <v>200</v>
      </c>
      <c r="E7" s="7" t="s">
        <v>28</v>
      </c>
    </row>
    <row r="8" spans="1:5">
      <c r="A8" s="1506"/>
      <c r="B8" s="117"/>
      <c r="C8" s="1488"/>
      <c r="D8" s="10" t="s">
        <v>7</v>
      </c>
      <c r="E8" s="11" t="s">
        <v>7</v>
      </c>
    </row>
    <row r="9" spans="1:5">
      <c r="A9" s="177" t="s">
        <v>435</v>
      </c>
      <c r="B9" s="181">
        <v>30.9</v>
      </c>
      <c r="C9" s="280" t="s">
        <v>66</v>
      </c>
      <c r="D9" s="195"/>
      <c r="E9" s="252"/>
    </row>
    <row r="10" spans="1:5">
      <c r="A10" s="177"/>
      <c r="B10" s="181"/>
      <c r="C10" s="279" t="s">
        <v>436</v>
      </c>
      <c r="D10" s="195"/>
      <c r="E10" s="252"/>
    </row>
    <row r="11" spans="1:5">
      <c r="A11" s="177"/>
      <c r="B11" s="181" t="s">
        <v>437</v>
      </c>
      <c r="C11" s="279" t="s">
        <v>438</v>
      </c>
      <c r="D11" s="195"/>
      <c r="E11" s="252"/>
    </row>
    <row r="12" spans="1:5">
      <c r="A12" s="177" t="s">
        <v>439</v>
      </c>
      <c r="B12" s="181"/>
      <c r="C12" s="124" t="s">
        <v>440</v>
      </c>
      <c r="D12" s="195"/>
      <c r="E12" s="252"/>
    </row>
    <row r="13" spans="1:5">
      <c r="A13" s="177" t="s">
        <v>439</v>
      </c>
      <c r="B13" s="181"/>
      <c r="C13" s="124" t="s">
        <v>441</v>
      </c>
      <c r="D13" s="200"/>
      <c r="E13" s="254"/>
    </row>
    <row r="14" spans="1:5" ht="25.5">
      <c r="A14" s="177" t="s">
        <v>442</v>
      </c>
      <c r="B14" s="181"/>
      <c r="C14" s="124" t="s">
        <v>443</v>
      </c>
      <c r="D14" s="195"/>
      <c r="E14" s="252"/>
    </row>
    <row r="15" spans="1:5">
      <c r="A15" s="177" t="s">
        <v>442</v>
      </c>
      <c r="B15" s="181"/>
      <c r="C15" s="124" t="s">
        <v>673</v>
      </c>
      <c r="D15" s="195"/>
      <c r="E15" s="252"/>
    </row>
    <row r="16" spans="1:5">
      <c r="A16" s="177" t="s">
        <v>442</v>
      </c>
      <c r="B16" s="181"/>
      <c r="C16" s="124" t="s">
        <v>444</v>
      </c>
      <c r="D16" s="195"/>
      <c r="E16" s="252"/>
    </row>
    <row r="17" spans="1:8">
      <c r="A17" s="177" t="s">
        <v>798</v>
      </c>
      <c r="B17" s="181"/>
      <c r="C17" s="124" t="s">
        <v>445</v>
      </c>
      <c r="D17" s="200"/>
      <c r="E17" s="254"/>
    </row>
    <row r="18" spans="1:8">
      <c r="A18" s="177"/>
      <c r="B18" s="181"/>
      <c r="C18" s="124"/>
      <c r="D18" s="195"/>
      <c r="E18" s="252"/>
    </row>
    <row r="19" spans="1:8">
      <c r="A19" s="177"/>
      <c r="B19" s="181" t="s">
        <v>446</v>
      </c>
      <c r="C19" s="279" t="s">
        <v>447</v>
      </c>
      <c r="D19" s="195"/>
      <c r="E19" s="252"/>
    </row>
    <row r="20" spans="1:8">
      <c r="A20" s="177" t="s">
        <v>439</v>
      </c>
      <c r="B20" s="181"/>
      <c r="C20" s="124" t="s">
        <v>448</v>
      </c>
      <c r="D20" s="195"/>
      <c r="E20" s="252"/>
    </row>
    <row r="21" spans="1:8">
      <c r="A21" s="177" t="s">
        <v>439</v>
      </c>
      <c r="B21" s="181"/>
      <c r="C21" s="124" t="s">
        <v>441</v>
      </c>
      <c r="D21" s="200"/>
      <c r="E21" s="254"/>
    </row>
    <row r="22" spans="1:8">
      <c r="A22" s="177" t="s">
        <v>442</v>
      </c>
      <c r="B22" s="181"/>
      <c r="C22" s="124" t="s">
        <v>449</v>
      </c>
      <c r="D22" s="195"/>
      <c r="E22" s="252"/>
    </row>
    <row r="23" spans="1:8">
      <c r="A23" s="177" t="s">
        <v>442</v>
      </c>
      <c r="B23" s="181"/>
      <c r="C23" s="124" t="s">
        <v>673</v>
      </c>
      <c r="D23" s="195"/>
      <c r="E23" s="252"/>
      <c r="H23" s="362"/>
    </row>
    <row r="24" spans="1:8">
      <c r="A24" s="177" t="s">
        <v>442</v>
      </c>
      <c r="B24" s="181"/>
      <c r="C24" s="124" t="s">
        <v>444</v>
      </c>
      <c r="D24" s="195"/>
      <c r="E24" s="252"/>
    </row>
    <row r="25" spans="1:8">
      <c r="A25" s="177"/>
      <c r="B25" s="181"/>
      <c r="C25" s="124" t="s">
        <v>450</v>
      </c>
      <c r="D25" s="200"/>
      <c r="E25" s="254"/>
    </row>
    <row r="26" spans="1:8">
      <c r="A26" s="177"/>
      <c r="B26" s="181"/>
      <c r="C26" s="124"/>
      <c r="D26" s="195"/>
      <c r="E26" s="252"/>
    </row>
    <row r="27" spans="1:8">
      <c r="A27" s="177"/>
      <c r="B27" s="181"/>
      <c r="C27" s="279" t="s">
        <v>451</v>
      </c>
      <c r="D27" s="195"/>
      <c r="E27" s="252"/>
    </row>
    <row r="28" spans="1:8">
      <c r="A28" s="177"/>
      <c r="B28" s="181" t="s">
        <v>452</v>
      </c>
      <c r="C28" s="279" t="s">
        <v>438</v>
      </c>
      <c r="D28" s="195"/>
      <c r="E28" s="252"/>
    </row>
    <row r="29" spans="1:8">
      <c r="A29" s="177" t="s">
        <v>439</v>
      </c>
      <c r="B29" s="181"/>
      <c r="C29" s="124" t="s">
        <v>440</v>
      </c>
      <c r="D29" s="195"/>
      <c r="E29" s="252"/>
    </row>
    <row r="30" spans="1:8">
      <c r="A30" s="177" t="s">
        <v>41</v>
      </c>
      <c r="B30" s="181"/>
      <c r="C30" s="124" t="s">
        <v>453</v>
      </c>
      <c r="D30" s="195"/>
      <c r="E30" s="252"/>
    </row>
    <row r="31" spans="1:8">
      <c r="A31" s="177" t="s">
        <v>439</v>
      </c>
      <c r="B31" s="181"/>
      <c r="C31" s="124" t="s">
        <v>441</v>
      </c>
      <c r="D31" s="200"/>
      <c r="E31" s="254"/>
    </row>
    <row r="32" spans="1:8" ht="25.5">
      <c r="A32" s="177" t="s">
        <v>442</v>
      </c>
      <c r="B32" s="181"/>
      <c r="C32" s="124" t="s">
        <v>454</v>
      </c>
      <c r="D32" s="195"/>
      <c r="E32" s="252"/>
    </row>
    <row r="33" spans="1:5">
      <c r="A33" s="177" t="s">
        <v>442</v>
      </c>
      <c r="B33" s="181"/>
      <c r="C33" s="124" t="s">
        <v>673</v>
      </c>
      <c r="D33" s="195"/>
      <c r="E33" s="252"/>
    </row>
    <row r="34" spans="1:5">
      <c r="A34" s="177" t="s">
        <v>442</v>
      </c>
      <c r="B34" s="181"/>
      <c r="C34" s="124" t="s">
        <v>444</v>
      </c>
      <c r="D34" s="195"/>
      <c r="E34" s="252"/>
    </row>
    <row r="35" spans="1:5">
      <c r="A35" s="177" t="s">
        <v>748</v>
      </c>
      <c r="B35" s="181"/>
      <c r="C35" s="124" t="s">
        <v>455</v>
      </c>
      <c r="D35" s="200"/>
      <c r="E35" s="254"/>
    </row>
    <row r="36" spans="1:5">
      <c r="A36" s="177"/>
      <c r="B36" s="181"/>
      <c r="C36" s="124"/>
      <c r="D36" s="195"/>
      <c r="E36" s="252"/>
    </row>
    <row r="37" spans="1:5">
      <c r="A37" s="177"/>
      <c r="B37" s="181" t="s">
        <v>456</v>
      </c>
      <c r="C37" s="279" t="s">
        <v>447</v>
      </c>
      <c r="D37" s="195"/>
      <c r="E37" s="252"/>
    </row>
    <row r="38" spans="1:5">
      <c r="A38" s="177" t="s">
        <v>439</v>
      </c>
      <c r="B38" s="181"/>
      <c r="C38" s="124" t="s">
        <v>448</v>
      </c>
      <c r="D38" s="195"/>
      <c r="E38" s="252"/>
    </row>
    <row r="39" spans="1:5">
      <c r="A39" s="177" t="s">
        <v>41</v>
      </c>
      <c r="B39" s="181"/>
      <c r="C39" s="124" t="s">
        <v>457</v>
      </c>
      <c r="D39" s="195"/>
      <c r="E39" s="252"/>
    </row>
    <row r="40" spans="1:5">
      <c r="A40" s="177" t="s">
        <v>439</v>
      </c>
      <c r="B40" s="181"/>
      <c r="C40" s="124" t="s">
        <v>441</v>
      </c>
      <c r="D40" s="200"/>
      <c r="E40" s="254"/>
    </row>
    <row r="41" spans="1:5" ht="25.5">
      <c r="A41" s="177" t="s">
        <v>442</v>
      </c>
      <c r="B41" s="181"/>
      <c r="C41" s="124" t="s">
        <v>458</v>
      </c>
      <c r="D41" s="195"/>
      <c r="E41" s="252"/>
    </row>
    <row r="42" spans="1:5">
      <c r="A42" s="177" t="s">
        <v>442</v>
      </c>
      <c r="B42" s="181"/>
      <c r="C42" s="124" t="s">
        <v>673</v>
      </c>
      <c r="D42" s="195"/>
      <c r="E42" s="252"/>
    </row>
    <row r="43" spans="1:5">
      <c r="A43" s="177" t="s">
        <v>442</v>
      </c>
      <c r="B43" s="181"/>
      <c r="C43" s="124" t="s">
        <v>444</v>
      </c>
      <c r="D43" s="195"/>
      <c r="E43" s="252"/>
    </row>
    <row r="44" spans="1:5">
      <c r="A44" s="177" t="s">
        <v>748</v>
      </c>
      <c r="B44" s="181"/>
      <c r="C44" s="124" t="s">
        <v>459</v>
      </c>
      <c r="D44" s="200"/>
      <c r="E44" s="254"/>
    </row>
    <row r="45" spans="1:5">
      <c r="A45" s="177"/>
      <c r="B45" s="181"/>
      <c r="C45" s="124"/>
      <c r="D45" s="195"/>
      <c r="E45" s="252"/>
    </row>
    <row r="46" spans="1:5">
      <c r="A46" s="177"/>
      <c r="B46" s="181"/>
      <c r="C46" s="279" t="s">
        <v>460</v>
      </c>
      <c r="D46" s="195"/>
      <c r="E46" s="252"/>
    </row>
    <row r="47" spans="1:5" ht="63.75">
      <c r="A47" s="177"/>
      <c r="B47" s="181"/>
      <c r="C47" s="124" t="s">
        <v>727</v>
      </c>
      <c r="D47" s="195"/>
      <c r="E47" s="252"/>
    </row>
    <row r="48" spans="1:5">
      <c r="A48" s="177"/>
      <c r="B48" s="181"/>
      <c r="C48" s="124"/>
      <c r="D48" s="195"/>
      <c r="E48" s="252"/>
    </row>
    <row r="49" spans="1:5">
      <c r="A49" s="177"/>
      <c r="B49" s="181" t="s">
        <v>461</v>
      </c>
      <c r="C49" s="279" t="s">
        <v>438</v>
      </c>
      <c r="D49" s="195"/>
      <c r="E49" s="252"/>
    </row>
    <row r="50" spans="1:5">
      <c r="A50" s="177" t="s">
        <v>439</v>
      </c>
      <c r="B50" s="181"/>
      <c r="C50" s="124" t="s">
        <v>440</v>
      </c>
      <c r="D50" s="195"/>
      <c r="E50" s="252"/>
    </row>
    <row r="51" spans="1:5">
      <c r="A51" s="177" t="s">
        <v>439</v>
      </c>
      <c r="B51" s="181"/>
      <c r="C51" s="124" t="s">
        <v>441</v>
      </c>
      <c r="D51" s="200"/>
      <c r="E51" s="254"/>
    </row>
    <row r="52" spans="1:5" ht="25.5">
      <c r="A52" s="177" t="s">
        <v>442</v>
      </c>
      <c r="B52" s="181"/>
      <c r="C52" s="124" t="s">
        <v>462</v>
      </c>
      <c r="D52" s="195"/>
      <c r="E52" s="252"/>
    </row>
    <row r="53" spans="1:5">
      <c r="A53" s="177" t="s">
        <v>463</v>
      </c>
      <c r="B53" s="181"/>
      <c r="C53" s="124" t="s">
        <v>580</v>
      </c>
      <c r="D53" s="200"/>
      <c r="E53" s="254"/>
    </row>
    <row r="54" spans="1:5">
      <c r="A54" s="177" t="s">
        <v>442</v>
      </c>
      <c r="B54" s="181"/>
      <c r="C54" s="124" t="s">
        <v>677</v>
      </c>
      <c r="D54" s="195"/>
      <c r="E54" s="252"/>
    </row>
    <row r="55" spans="1:5">
      <c r="A55" s="177" t="s">
        <v>442</v>
      </c>
      <c r="B55" s="181"/>
      <c r="C55" s="124" t="s">
        <v>676</v>
      </c>
      <c r="D55" s="195"/>
      <c r="E55" s="252"/>
    </row>
    <row r="56" spans="1:5">
      <c r="A56" s="177" t="s">
        <v>442</v>
      </c>
      <c r="B56" s="181"/>
      <c r="C56" s="124" t="s">
        <v>728</v>
      </c>
      <c r="D56" s="200"/>
      <c r="E56" s="254"/>
    </row>
    <row r="57" spans="1:5">
      <c r="A57" s="177" t="s">
        <v>442</v>
      </c>
      <c r="B57" s="181"/>
      <c r="C57" s="124" t="s">
        <v>674</v>
      </c>
      <c r="D57" s="195"/>
      <c r="E57" s="252"/>
    </row>
    <row r="58" spans="1:5">
      <c r="A58" s="177" t="s">
        <v>442</v>
      </c>
      <c r="B58" s="181"/>
      <c r="C58" s="124" t="s">
        <v>444</v>
      </c>
      <c r="D58" s="195"/>
      <c r="E58" s="252"/>
    </row>
    <row r="59" spans="1:5">
      <c r="A59" s="177" t="s">
        <v>798</v>
      </c>
      <c r="B59" s="181"/>
      <c r="C59" s="124" t="s">
        <v>464</v>
      </c>
      <c r="D59" s="200"/>
      <c r="E59" s="254"/>
    </row>
    <row r="60" spans="1:5" ht="13.5" thickBot="1">
      <c r="A60" s="400"/>
      <c r="B60" s="189"/>
      <c r="C60" s="388"/>
      <c r="D60" s="304"/>
      <c r="E60" s="305"/>
    </row>
    <row r="61" spans="1:5">
      <c r="A61" s="43" t="s">
        <v>128</v>
      </c>
      <c r="B61" s="90" t="s">
        <v>583</v>
      </c>
      <c r="C61" s="90"/>
      <c r="D61" s="4"/>
      <c r="E61" s="4"/>
    </row>
    <row r="62" spans="1:5" ht="13.5" thickBot="1">
      <c r="A62" s="403"/>
      <c r="B62" s="404"/>
      <c r="C62" s="403"/>
      <c r="D62" s="403"/>
      <c r="E62" s="403"/>
    </row>
    <row r="63" spans="1:5" ht="25.5">
      <c r="A63" s="1505" t="s">
        <v>675</v>
      </c>
      <c r="B63" s="451" t="s">
        <v>88</v>
      </c>
      <c r="C63" s="1485" t="s">
        <v>26</v>
      </c>
      <c r="D63" s="6" t="s">
        <v>200</v>
      </c>
      <c r="E63" s="7" t="s">
        <v>28</v>
      </c>
    </row>
    <row r="64" spans="1:5">
      <c r="A64" s="1506"/>
      <c r="B64" s="117"/>
      <c r="C64" s="1488"/>
      <c r="D64" s="10" t="s">
        <v>7</v>
      </c>
      <c r="E64" s="11" t="s">
        <v>7</v>
      </c>
    </row>
    <row r="65" spans="1:5">
      <c r="A65" s="177"/>
      <c r="B65" s="181" t="s">
        <v>465</v>
      </c>
      <c r="C65" s="279" t="s">
        <v>447</v>
      </c>
      <c r="D65" s="195"/>
      <c r="E65" s="252"/>
    </row>
    <row r="66" spans="1:5">
      <c r="A66" s="177" t="s">
        <v>439</v>
      </c>
      <c r="B66" s="181"/>
      <c r="C66" s="124" t="s">
        <v>448</v>
      </c>
      <c r="D66" s="195"/>
      <c r="E66" s="252"/>
    </row>
    <row r="67" spans="1:5">
      <c r="A67" s="177" t="s">
        <v>439</v>
      </c>
      <c r="B67" s="181"/>
      <c r="C67" s="124" t="s">
        <v>441</v>
      </c>
      <c r="D67" s="200"/>
      <c r="E67" s="254"/>
    </row>
    <row r="68" spans="1:5">
      <c r="A68" s="177" t="s">
        <v>442</v>
      </c>
      <c r="B68" s="181"/>
      <c r="C68" s="124" t="s">
        <v>466</v>
      </c>
      <c r="D68" s="195"/>
      <c r="E68" s="252"/>
    </row>
    <row r="69" spans="1:5">
      <c r="A69" s="177" t="s">
        <v>463</v>
      </c>
      <c r="B69" s="181"/>
      <c r="C69" s="124" t="s">
        <v>580</v>
      </c>
      <c r="D69" s="200"/>
      <c r="E69" s="254"/>
    </row>
    <row r="70" spans="1:5">
      <c r="A70" s="177" t="s">
        <v>442</v>
      </c>
      <c r="B70" s="181"/>
      <c r="C70" s="124" t="s">
        <v>678</v>
      </c>
      <c r="D70" s="195"/>
      <c r="E70" s="252"/>
    </row>
    <row r="71" spans="1:5">
      <c r="A71" s="177" t="s">
        <v>442</v>
      </c>
      <c r="B71" s="181"/>
      <c r="C71" s="124" t="s">
        <v>676</v>
      </c>
      <c r="D71" s="195"/>
      <c r="E71" s="252"/>
    </row>
    <row r="72" spans="1:5">
      <c r="A72" s="177" t="s">
        <v>442</v>
      </c>
      <c r="B72" s="181"/>
      <c r="C72" s="124" t="s">
        <v>729</v>
      </c>
      <c r="D72" s="200"/>
      <c r="E72" s="254"/>
    </row>
    <row r="73" spans="1:5">
      <c r="A73" s="177" t="s">
        <v>442</v>
      </c>
      <c r="B73" s="181"/>
      <c r="C73" s="124" t="s">
        <v>674</v>
      </c>
      <c r="D73" s="195"/>
      <c r="E73" s="252"/>
    </row>
    <row r="74" spans="1:5">
      <c r="A74" s="177" t="s">
        <v>442</v>
      </c>
      <c r="B74" s="181"/>
      <c r="C74" s="124" t="s">
        <v>444</v>
      </c>
      <c r="D74" s="195"/>
      <c r="E74" s="252"/>
    </row>
    <row r="75" spans="1:5">
      <c r="A75" s="177"/>
      <c r="B75" s="181"/>
      <c r="C75" s="124" t="s">
        <v>467</v>
      </c>
      <c r="D75" s="200"/>
      <c r="E75" s="254"/>
    </row>
    <row r="76" spans="1:5">
      <c r="A76" s="177"/>
      <c r="B76" s="181"/>
      <c r="C76" s="124"/>
      <c r="D76" s="195"/>
      <c r="E76" s="252"/>
    </row>
    <row r="77" spans="1:5">
      <c r="A77" s="177"/>
      <c r="B77" s="181"/>
      <c r="C77" s="279" t="s">
        <v>468</v>
      </c>
      <c r="D77" s="195"/>
      <c r="E77" s="252"/>
    </row>
    <row r="78" spans="1:5">
      <c r="A78" s="177"/>
      <c r="B78" s="181" t="s">
        <v>469</v>
      </c>
      <c r="C78" s="279" t="s">
        <v>438</v>
      </c>
      <c r="D78" s="195"/>
      <c r="E78" s="252"/>
    </row>
    <row r="79" spans="1:5">
      <c r="A79" s="177" t="s">
        <v>439</v>
      </c>
      <c r="B79" s="181"/>
      <c r="C79" s="124" t="s">
        <v>440</v>
      </c>
      <c r="D79" s="195"/>
      <c r="E79" s="252"/>
    </row>
    <row r="80" spans="1:5">
      <c r="A80" s="177" t="s">
        <v>41</v>
      </c>
      <c r="B80" s="181"/>
      <c r="C80" s="124" t="s">
        <v>470</v>
      </c>
      <c r="D80" s="195"/>
      <c r="E80" s="252"/>
    </row>
    <row r="81" spans="1:5">
      <c r="A81" s="177" t="s">
        <v>439</v>
      </c>
      <c r="B81" s="181"/>
      <c r="C81" s="124" t="s">
        <v>441</v>
      </c>
      <c r="D81" s="200"/>
      <c r="E81" s="254"/>
    </row>
    <row r="82" spans="1:5" ht="25.5">
      <c r="A82" s="177" t="s">
        <v>442</v>
      </c>
      <c r="B82" s="181"/>
      <c r="C82" s="124" t="s">
        <v>454</v>
      </c>
      <c r="D82" s="195"/>
      <c r="E82" s="252"/>
    </row>
    <row r="83" spans="1:5">
      <c r="A83" s="177" t="s">
        <v>463</v>
      </c>
      <c r="B83" s="181"/>
      <c r="C83" s="124" t="s">
        <v>580</v>
      </c>
      <c r="D83" s="200"/>
      <c r="E83" s="254"/>
    </row>
    <row r="84" spans="1:5">
      <c r="A84" s="177" t="s">
        <v>442</v>
      </c>
      <c r="B84" s="181"/>
      <c r="C84" s="124" t="s">
        <v>679</v>
      </c>
      <c r="D84" s="195"/>
      <c r="E84" s="252"/>
    </row>
    <row r="85" spans="1:5">
      <c r="A85" s="177" t="s">
        <v>442</v>
      </c>
      <c r="B85" s="181"/>
      <c r="C85" s="124" t="s">
        <v>676</v>
      </c>
      <c r="D85" s="195"/>
      <c r="E85" s="252"/>
    </row>
    <row r="86" spans="1:5">
      <c r="A86" s="177" t="s">
        <v>442</v>
      </c>
      <c r="B86" s="181"/>
      <c r="C86" s="124" t="s">
        <v>729</v>
      </c>
      <c r="D86" s="200"/>
      <c r="E86" s="254"/>
    </row>
    <row r="87" spans="1:5">
      <c r="A87" s="177" t="s">
        <v>442</v>
      </c>
      <c r="B87" s="181"/>
      <c r="C87" s="124" t="s">
        <v>674</v>
      </c>
      <c r="D87" s="195"/>
      <c r="E87" s="252"/>
    </row>
    <row r="88" spans="1:5">
      <c r="A88" s="177" t="s">
        <v>442</v>
      </c>
      <c r="B88" s="181"/>
      <c r="C88" s="124" t="s">
        <v>444</v>
      </c>
      <c r="D88" s="195"/>
      <c r="E88" s="252"/>
    </row>
    <row r="89" spans="1:5">
      <c r="A89" s="177" t="s">
        <v>798</v>
      </c>
      <c r="B89" s="181"/>
      <c r="C89" s="227" t="s">
        <v>471</v>
      </c>
      <c r="D89" s="200"/>
      <c r="E89" s="254"/>
    </row>
    <row r="90" spans="1:5">
      <c r="A90" s="177"/>
      <c r="B90" s="181"/>
      <c r="C90" s="124"/>
      <c r="D90" s="195"/>
      <c r="E90" s="252"/>
    </row>
    <row r="91" spans="1:5">
      <c r="A91" s="177"/>
      <c r="B91" s="181" t="s">
        <v>472</v>
      </c>
      <c r="C91" s="279" t="s">
        <v>447</v>
      </c>
      <c r="D91" s="195"/>
      <c r="E91" s="252"/>
    </row>
    <row r="92" spans="1:5">
      <c r="A92" s="177" t="s">
        <v>439</v>
      </c>
      <c r="B92" s="181"/>
      <c r="C92" s="124" t="s">
        <v>473</v>
      </c>
      <c r="D92" s="195"/>
      <c r="E92" s="252"/>
    </row>
    <row r="93" spans="1:5">
      <c r="A93" s="177" t="s">
        <v>41</v>
      </c>
      <c r="B93" s="181"/>
      <c r="C93" s="124" t="s">
        <v>470</v>
      </c>
      <c r="D93" s="195"/>
      <c r="E93" s="252"/>
    </row>
    <row r="94" spans="1:5">
      <c r="A94" s="177" t="s">
        <v>439</v>
      </c>
      <c r="B94" s="181"/>
      <c r="C94" s="124" t="s">
        <v>441</v>
      </c>
      <c r="D94" s="200"/>
      <c r="E94" s="254"/>
    </row>
    <row r="95" spans="1:5" ht="25.5">
      <c r="A95" s="177" t="s">
        <v>442</v>
      </c>
      <c r="B95" s="181"/>
      <c r="C95" s="124" t="s">
        <v>458</v>
      </c>
      <c r="D95" s="195"/>
      <c r="E95" s="252"/>
    </row>
    <row r="96" spans="1:5">
      <c r="A96" s="177" t="s">
        <v>463</v>
      </c>
      <c r="B96" s="181"/>
      <c r="C96" s="124" t="s">
        <v>580</v>
      </c>
      <c r="D96" s="200"/>
      <c r="E96" s="254"/>
    </row>
    <row r="97" spans="1:5">
      <c r="A97" s="177" t="s">
        <v>442</v>
      </c>
      <c r="B97" s="181"/>
      <c r="C97" s="124" t="s">
        <v>678</v>
      </c>
      <c r="D97" s="195"/>
      <c r="E97" s="252"/>
    </row>
    <row r="98" spans="1:5">
      <c r="A98" s="177" t="s">
        <v>442</v>
      </c>
      <c r="B98" s="181"/>
      <c r="C98" s="124" t="s">
        <v>676</v>
      </c>
      <c r="D98" s="195"/>
      <c r="E98" s="252"/>
    </row>
    <row r="99" spans="1:5">
      <c r="A99" s="177" t="s">
        <v>442</v>
      </c>
      <c r="B99" s="181"/>
      <c r="C99" s="124" t="s">
        <v>729</v>
      </c>
      <c r="D99" s="200"/>
      <c r="E99" s="254"/>
    </row>
    <row r="100" spans="1:5">
      <c r="A100" s="177" t="s">
        <v>442</v>
      </c>
      <c r="B100" s="181"/>
      <c r="C100" s="124" t="s">
        <v>674</v>
      </c>
      <c r="D100" s="195"/>
      <c r="E100" s="252"/>
    </row>
    <row r="101" spans="1:5">
      <c r="A101" s="177" t="s">
        <v>442</v>
      </c>
      <c r="B101" s="181"/>
      <c r="C101" s="124" t="s">
        <v>444</v>
      </c>
      <c r="D101" s="195"/>
      <c r="E101" s="252"/>
    </row>
    <row r="102" spans="1:5" ht="13.5" thickBot="1">
      <c r="A102" s="400"/>
      <c r="B102" s="189"/>
      <c r="C102" s="532" t="s">
        <v>474</v>
      </c>
      <c r="D102" s="304"/>
      <c r="E102" s="305"/>
    </row>
    <row r="103" spans="1:5" ht="42" customHeight="1">
      <c r="A103" s="530" t="s">
        <v>799</v>
      </c>
      <c r="B103" s="531"/>
      <c r="C103" s="1571" t="s">
        <v>814</v>
      </c>
      <c r="D103" s="1572"/>
      <c r="E103" s="1573"/>
    </row>
    <row r="104" spans="1:5" ht="40.15" customHeight="1" thickBot="1">
      <c r="A104" s="533" t="s">
        <v>800</v>
      </c>
      <c r="B104" s="534"/>
      <c r="C104" s="1574" t="s">
        <v>813</v>
      </c>
      <c r="D104" s="1575"/>
      <c r="E104" s="1576"/>
    </row>
  </sheetData>
  <mergeCells count="6">
    <mergeCell ref="C103:E103"/>
    <mergeCell ref="C104:E104"/>
    <mergeCell ref="A7:A8"/>
    <mergeCell ref="C7:C8"/>
    <mergeCell ref="A63:A64"/>
    <mergeCell ref="C63:C64"/>
  </mergeCells>
  <pageMargins left="0.5" right="0.5" top="0.5" bottom="0.5" header="0.5" footer="0.5"/>
  <pageSetup scale="68" fitToHeight="0" orientation="portrait" r:id="rId1"/>
  <headerFooter alignWithMargins="0"/>
  <rowBreaks count="1" manualBreakCount="1">
    <brk id="60"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pageSetUpPr fitToPage="1"/>
  </sheetPr>
  <dimension ref="A2:E32"/>
  <sheetViews>
    <sheetView showGridLines="0" view="pageBreakPreview" zoomScaleNormal="70" zoomScaleSheetLayoutView="100" workbookViewId="0">
      <selection activeCell="C13" sqref="C13"/>
    </sheetView>
  </sheetViews>
  <sheetFormatPr defaultColWidth="8.85546875" defaultRowHeight="12.75"/>
  <cols>
    <col min="1" max="1" width="11.85546875" style="33" bestFit="1" customWidth="1"/>
    <col min="2" max="2" width="8.85546875" style="186"/>
    <col min="3" max="3" width="77.140625" style="33" customWidth="1"/>
    <col min="4" max="4" width="19.28515625" style="33" customWidth="1"/>
    <col min="5" max="5" width="19.42578125" style="33" customWidth="1"/>
    <col min="6" max="6" width="11.7109375" style="33" customWidth="1"/>
    <col min="7" max="7" width="12.7109375" style="33" bestFit="1" customWidth="1"/>
    <col min="8" max="16384" width="8.85546875" style="33"/>
  </cols>
  <sheetData>
    <row r="2" spans="1:5">
      <c r="A2" s="4"/>
      <c r="B2" s="90" t="s">
        <v>3</v>
      </c>
      <c r="D2" s="4"/>
      <c r="E2" s="4"/>
    </row>
    <row r="3" spans="1:5">
      <c r="A3" s="4"/>
      <c r="B3" s="90" t="s">
        <v>60</v>
      </c>
      <c r="D3" s="4"/>
      <c r="E3" s="4"/>
    </row>
    <row r="4" spans="1:5">
      <c r="A4" s="4"/>
      <c r="B4" s="33"/>
      <c r="D4" s="4"/>
      <c r="E4" s="4"/>
    </row>
    <row r="5" spans="1:5">
      <c r="A5" s="43" t="s">
        <v>128</v>
      </c>
      <c r="B5" s="90" t="s">
        <v>583</v>
      </c>
      <c r="D5" s="4"/>
      <c r="E5" s="4"/>
    </row>
    <row r="6" spans="1:5" ht="13.5" thickBot="1">
      <c r="A6" s="4"/>
      <c r="B6" s="22"/>
      <c r="C6" s="4"/>
      <c r="D6" s="4"/>
      <c r="E6" s="4"/>
    </row>
    <row r="7" spans="1:5" ht="25.5">
      <c r="A7" s="1505" t="s">
        <v>2</v>
      </c>
      <c r="B7" s="451" t="s">
        <v>88</v>
      </c>
      <c r="C7" s="1485" t="s">
        <v>26</v>
      </c>
      <c r="D7" s="6" t="s">
        <v>5</v>
      </c>
      <c r="E7" s="7" t="s">
        <v>6</v>
      </c>
    </row>
    <row r="8" spans="1:5">
      <c r="A8" s="1506"/>
      <c r="B8" s="117"/>
      <c r="C8" s="1488"/>
      <c r="D8" s="10" t="s">
        <v>7</v>
      </c>
      <c r="E8" s="11" t="s">
        <v>7</v>
      </c>
    </row>
    <row r="9" spans="1:5" ht="25.5">
      <c r="A9" s="182" t="s">
        <v>801</v>
      </c>
      <c r="B9" s="255" t="s">
        <v>475</v>
      </c>
      <c r="C9" s="280" t="s">
        <v>680</v>
      </c>
      <c r="D9" s="195"/>
      <c r="E9" s="252"/>
    </row>
    <row r="10" spans="1:5">
      <c r="A10" s="37" t="s">
        <v>476</v>
      </c>
      <c r="B10" s="181"/>
      <c r="C10" s="281" t="s">
        <v>477</v>
      </c>
      <c r="D10" s="282"/>
      <c r="E10" s="252"/>
    </row>
    <row r="11" spans="1:5">
      <c r="A11" s="177"/>
      <c r="B11" s="181"/>
      <c r="C11" s="283" t="s">
        <v>478</v>
      </c>
      <c r="D11" s="284"/>
      <c r="E11" s="252"/>
    </row>
    <row r="12" spans="1:5">
      <c r="A12" s="177"/>
      <c r="B12" s="181"/>
      <c r="C12" s="283" t="s">
        <v>479</v>
      </c>
      <c r="D12" s="284"/>
      <c r="E12" s="252"/>
    </row>
    <row r="13" spans="1:5" ht="25.5">
      <c r="A13" s="177"/>
      <c r="B13" s="181"/>
      <c r="C13" s="283" t="s">
        <v>628</v>
      </c>
      <c r="D13" s="284"/>
      <c r="E13" s="252"/>
    </row>
    <row r="14" spans="1:5">
      <c r="A14" s="177"/>
      <c r="B14" s="181"/>
      <c r="C14" s="18" t="s">
        <v>79</v>
      </c>
      <c r="D14" s="284"/>
      <c r="E14" s="252"/>
    </row>
    <row r="15" spans="1:5">
      <c r="A15" s="177"/>
      <c r="B15" s="181"/>
      <c r="C15" s="18" t="s">
        <v>477</v>
      </c>
      <c r="D15" s="285"/>
      <c r="E15" s="286"/>
    </row>
    <row r="16" spans="1:5">
      <c r="A16" s="177"/>
      <c r="B16" s="181"/>
      <c r="C16" s="18"/>
      <c r="D16" s="282"/>
      <c r="E16" s="252"/>
    </row>
    <row r="17" spans="1:5">
      <c r="A17" s="37" t="s">
        <v>476</v>
      </c>
      <c r="B17" s="181"/>
      <c r="C17" s="281" t="s">
        <v>480</v>
      </c>
      <c r="D17" s="282"/>
      <c r="E17" s="252"/>
    </row>
    <row r="18" spans="1:5">
      <c r="A18" s="177"/>
      <c r="B18" s="181"/>
      <c r="C18" s="283" t="s">
        <v>481</v>
      </c>
      <c r="D18" s="284"/>
      <c r="E18" s="252"/>
    </row>
    <row r="19" spans="1:5">
      <c r="A19" s="177"/>
      <c r="B19" s="181"/>
      <c r="C19" s="18" t="s">
        <v>482</v>
      </c>
      <c r="D19" s="284"/>
      <c r="E19" s="252"/>
    </row>
    <row r="20" spans="1:5">
      <c r="A20" s="177"/>
      <c r="B20" s="181"/>
      <c r="C20" s="283" t="s">
        <v>613</v>
      </c>
      <c r="D20" s="284"/>
      <c r="E20" s="252"/>
    </row>
    <row r="21" spans="1:5">
      <c r="A21" s="177"/>
      <c r="B21" s="181"/>
      <c r="C21" s="283" t="s">
        <v>478</v>
      </c>
      <c r="D21" s="284"/>
      <c r="E21" s="252"/>
    </row>
    <row r="22" spans="1:5">
      <c r="A22" s="177"/>
      <c r="B22" s="181"/>
      <c r="C22" s="18" t="s">
        <v>483</v>
      </c>
      <c r="D22" s="284"/>
      <c r="E22" s="252"/>
    </row>
    <row r="23" spans="1:5">
      <c r="A23" s="37"/>
      <c r="B23" s="152"/>
      <c r="C23" s="18" t="s">
        <v>484</v>
      </c>
      <c r="D23" s="284"/>
      <c r="E23" s="252"/>
    </row>
    <row r="24" spans="1:5" ht="25.5">
      <c r="A24" s="177"/>
      <c r="B24" s="181"/>
      <c r="C24" s="283" t="s">
        <v>628</v>
      </c>
      <c r="D24" s="284"/>
      <c r="E24" s="252"/>
    </row>
    <row r="25" spans="1:5">
      <c r="A25" s="37"/>
      <c r="C25" s="18" t="s">
        <v>79</v>
      </c>
      <c r="D25" s="284"/>
      <c r="E25" s="252"/>
    </row>
    <row r="26" spans="1:5">
      <c r="A26" s="37"/>
      <c r="C26" s="18" t="s">
        <v>480</v>
      </c>
      <c r="D26" s="285"/>
      <c r="E26" s="286"/>
    </row>
    <row r="27" spans="1:5">
      <c r="A27" s="37"/>
      <c r="C27" s="18"/>
      <c r="D27" s="282"/>
      <c r="E27" s="287"/>
    </row>
    <row r="28" spans="1:5">
      <c r="A28" s="37"/>
      <c r="C28" s="18"/>
      <c r="D28" s="282"/>
      <c r="E28" s="252"/>
    </row>
    <row r="29" spans="1:5">
      <c r="A29" s="37"/>
      <c r="C29" s="288" t="s">
        <v>485</v>
      </c>
      <c r="D29" s="289"/>
      <c r="E29" s="290"/>
    </row>
    <row r="30" spans="1:5">
      <c r="A30" s="37"/>
      <c r="C30" s="27"/>
      <c r="D30" s="291"/>
      <c r="E30" s="286"/>
    </row>
    <row r="31" spans="1:5" ht="58.9" customHeight="1" thickBot="1">
      <c r="A31" s="39" t="s">
        <v>486</v>
      </c>
      <c r="B31" s="183"/>
      <c r="C31" s="1577" t="s">
        <v>661</v>
      </c>
      <c r="D31" s="1578"/>
      <c r="E31" s="1579"/>
    </row>
    <row r="32" spans="1:5" ht="20.25" thickBot="1">
      <c r="A32" s="431" t="s">
        <v>634</v>
      </c>
      <c r="B32" s="432"/>
      <c r="C32" s="1580" t="s">
        <v>487</v>
      </c>
      <c r="D32" s="1581"/>
      <c r="E32" s="1582"/>
    </row>
  </sheetData>
  <mergeCells count="4">
    <mergeCell ref="A7:A8"/>
    <mergeCell ref="C7:C8"/>
    <mergeCell ref="C31:E31"/>
    <mergeCell ref="C32:E32"/>
  </mergeCells>
  <pageMargins left="0.5" right="0.5" top="0.5" bottom="0.5" header="0.5" footer="0.5"/>
  <pageSetup scale="69"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pageSetUpPr fitToPage="1"/>
  </sheetPr>
  <dimension ref="A2:E52"/>
  <sheetViews>
    <sheetView showGridLines="0" view="pageBreakPreview" zoomScaleSheetLayoutView="100" workbookViewId="0">
      <selection activeCell="C21" sqref="C21"/>
    </sheetView>
  </sheetViews>
  <sheetFormatPr defaultColWidth="8.85546875" defaultRowHeight="12.75"/>
  <cols>
    <col min="1" max="1" width="11.85546875" style="33" bestFit="1" customWidth="1"/>
    <col min="2" max="2" width="8.85546875" style="186"/>
    <col min="3" max="3" width="85.7109375" style="33" customWidth="1"/>
    <col min="4" max="4" width="22" style="33" customWidth="1"/>
    <col min="5" max="5" width="20.140625" style="33" customWidth="1"/>
    <col min="6" max="6" width="11.7109375" style="33" customWidth="1"/>
    <col min="7" max="7" width="12.7109375" style="33" bestFit="1" customWidth="1"/>
    <col min="8" max="16384" width="8.85546875" style="33"/>
  </cols>
  <sheetData>
    <row r="2" spans="1:5">
      <c r="A2" s="4"/>
      <c r="B2" s="90" t="s">
        <v>3</v>
      </c>
      <c r="D2" s="4"/>
      <c r="E2" s="4"/>
    </row>
    <row r="3" spans="1:5">
      <c r="A3" s="4"/>
      <c r="B3" s="90" t="s">
        <v>60</v>
      </c>
      <c r="D3" s="4"/>
      <c r="E3" s="4"/>
    </row>
    <row r="4" spans="1:5">
      <c r="A4" s="4"/>
      <c r="B4" s="33"/>
      <c r="D4" s="4"/>
      <c r="E4" s="4"/>
    </row>
    <row r="5" spans="1:5">
      <c r="A5" s="43" t="s">
        <v>128</v>
      </c>
      <c r="B5" s="90" t="s">
        <v>583</v>
      </c>
      <c r="D5" s="4"/>
      <c r="E5" s="4"/>
    </row>
    <row r="6" spans="1:5" ht="13.5" thickBot="1">
      <c r="A6" s="4"/>
      <c r="B6" s="22"/>
      <c r="C6" s="4"/>
      <c r="D6" s="4"/>
      <c r="E6" s="4"/>
    </row>
    <row r="7" spans="1:5" ht="14.45" customHeight="1">
      <c r="A7" s="1505" t="s">
        <v>2</v>
      </c>
      <c r="B7" s="451" t="s">
        <v>88</v>
      </c>
      <c r="C7" s="1484" t="s">
        <v>26</v>
      </c>
      <c r="D7" s="1485"/>
      <c r="E7" s="1486"/>
    </row>
    <row r="8" spans="1:5">
      <c r="A8" s="1506"/>
      <c r="B8" s="117"/>
      <c r="C8" s="1487"/>
      <c r="D8" s="1488"/>
      <c r="E8" s="1489"/>
    </row>
    <row r="9" spans="1:5">
      <c r="A9" s="37" t="s">
        <v>802</v>
      </c>
      <c r="B9" s="186">
        <v>30.11</v>
      </c>
      <c r="C9" s="295" t="s">
        <v>488</v>
      </c>
      <c r="E9" s="36"/>
    </row>
    <row r="10" spans="1:5" ht="48" customHeight="1">
      <c r="A10" s="37" t="s">
        <v>489</v>
      </c>
      <c r="C10" s="1509" t="s">
        <v>629</v>
      </c>
      <c r="D10" s="1510"/>
      <c r="E10" s="1511"/>
    </row>
    <row r="11" spans="1:5">
      <c r="A11" s="37"/>
      <c r="C11" s="353"/>
      <c r="D11" s="349"/>
      <c r="E11" s="350"/>
    </row>
    <row r="12" spans="1:5" ht="39" customHeight="1">
      <c r="A12" s="37"/>
      <c r="C12" s="296" t="s">
        <v>490</v>
      </c>
      <c r="D12" s="87" t="s">
        <v>200</v>
      </c>
      <c r="E12" s="165" t="s">
        <v>28</v>
      </c>
    </row>
    <row r="13" spans="1:5">
      <c r="A13" s="37"/>
      <c r="C13" s="296"/>
      <c r="D13" s="10" t="s">
        <v>7</v>
      </c>
      <c r="E13" s="11" t="s">
        <v>7</v>
      </c>
    </row>
    <row r="14" spans="1:5">
      <c r="A14" s="37"/>
      <c r="C14" s="294" t="s">
        <v>681</v>
      </c>
      <c r="D14" s="62"/>
      <c r="E14" s="170"/>
    </row>
    <row r="15" spans="1:5">
      <c r="A15" s="37"/>
      <c r="C15" s="294" t="s">
        <v>682</v>
      </c>
      <c r="D15" s="78"/>
      <c r="E15" s="433"/>
    </row>
    <row r="16" spans="1:5">
      <c r="A16" s="37"/>
      <c r="C16" s="294" t="s">
        <v>683</v>
      </c>
      <c r="D16" s="97"/>
      <c r="E16" s="25"/>
    </row>
    <row r="17" spans="1:5">
      <c r="A17" s="37" t="s">
        <v>491</v>
      </c>
      <c r="C17" s="295" t="s">
        <v>684</v>
      </c>
      <c r="D17" s="200"/>
      <c r="E17" s="254"/>
    </row>
    <row r="18" spans="1:5">
      <c r="A18" s="37"/>
      <c r="C18" s="294"/>
      <c r="D18" s="294"/>
      <c r="E18" s="252"/>
    </row>
    <row r="19" spans="1:5">
      <c r="A19" s="37" t="s">
        <v>491</v>
      </c>
      <c r="C19" s="297" t="s">
        <v>492</v>
      </c>
      <c r="D19" s="294"/>
      <c r="E19" s="252"/>
    </row>
    <row r="20" spans="1:5">
      <c r="A20" s="37"/>
      <c r="C20" s="297" t="s">
        <v>493</v>
      </c>
      <c r="D20" s="294"/>
      <c r="E20" s="252"/>
    </row>
    <row r="21" spans="1:5">
      <c r="A21" s="37"/>
      <c r="C21" s="297" t="s">
        <v>591</v>
      </c>
      <c r="D21" s="294"/>
      <c r="E21" s="252"/>
    </row>
    <row r="22" spans="1:5">
      <c r="A22" s="37"/>
      <c r="C22" s="297" t="s">
        <v>494</v>
      </c>
      <c r="D22" s="294"/>
      <c r="E22" s="252"/>
    </row>
    <row r="23" spans="1:5">
      <c r="A23" s="37"/>
      <c r="C23" s="297" t="s">
        <v>44</v>
      </c>
      <c r="D23" s="294"/>
      <c r="E23" s="252"/>
    </row>
    <row r="24" spans="1:5">
      <c r="A24" s="37"/>
      <c r="C24" s="297" t="s">
        <v>45</v>
      </c>
      <c r="D24" s="294"/>
      <c r="E24" s="252"/>
    </row>
    <row r="25" spans="1:5">
      <c r="A25" s="37"/>
      <c r="C25" s="297" t="s">
        <v>495</v>
      </c>
      <c r="D25" s="298"/>
      <c r="E25" s="254"/>
    </row>
    <row r="26" spans="1:5">
      <c r="A26" s="37"/>
      <c r="C26" s="295" t="s">
        <v>685</v>
      </c>
      <c r="D26" s="454"/>
      <c r="E26" s="455"/>
    </row>
    <row r="27" spans="1:5">
      <c r="A27" s="37"/>
      <c r="C27" s="294"/>
      <c r="D27" s="195"/>
      <c r="E27" s="252"/>
    </row>
    <row r="28" spans="1:5">
      <c r="A28" s="37" t="s">
        <v>496</v>
      </c>
      <c r="C28" s="294" t="s">
        <v>497</v>
      </c>
      <c r="D28" s="299"/>
      <c r="E28" s="300"/>
    </row>
    <row r="29" spans="1:5" ht="27.6" customHeight="1">
      <c r="A29" s="37" t="s">
        <v>498</v>
      </c>
      <c r="C29" s="301" t="s">
        <v>499</v>
      </c>
      <c r="D29" s="38"/>
      <c r="E29" s="302"/>
    </row>
    <row r="30" spans="1:5">
      <c r="A30" s="37"/>
      <c r="C30" s="301"/>
      <c r="D30" s="299"/>
      <c r="E30" s="300"/>
    </row>
    <row r="31" spans="1:5">
      <c r="A31" s="37"/>
      <c r="C31" s="294" t="s">
        <v>329</v>
      </c>
      <c r="D31" s="299"/>
      <c r="E31" s="300"/>
    </row>
    <row r="32" spans="1:5">
      <c r="A32" s="37" t="s">
        <v>496</v>
      </c>
      <c r="C32" s="253" t="s">
        <v>500</v>
      </c>
      <c r="D32" s="299"/>
      <c r="E32" s="300"/>
    </row>
    <row r="33" spans="1:5">
      <c r="A33" s="37" t="s">
        <v>498</v>
      </c>
      <c r="C33" s="253" t="s">
        <v>501</v>
      </c>
      <c r="D33" s="38"/>
      <c r="E33" s="302"/>
    </row>
    <row r="34" spans="1:5">
      <c r="A34" s="37"/>
      <c r="C34" s="253"/>
      <c r="D34" s="192"/>
      <c r="E34" s="303"/>
    </row>
    <row r="35" spans="1:5">
      <c r="A35" s="37"/>
      <c r="C35" s="253"/>
      <c r="D35" s="299"/>
      <c r="E35" s="300"/>
    </row>
    <row r="36" spans="1:5">
      <c r="A36" s="37"/>
      <c r="C36" s="253"/>
      <c r="D36" s="299"/>
      <c r="E36" s="302"/>
    </row>
    <row r="37" spans="1:5">
      <c r="A37" s="37"/>
      <c r="C37" s="253"/>
      <c r="D37" s="192"/>
      <c r="E37" s="303"/>
    </row>
    <row r="38" spans="1:5">
      <c r="A38" s="37"/>
      <c r="C38" s="295" t="s">
        <v>502</v>
      </c>
      <c r="D38" s="38"/>
      <c r="E38" s="302"/>
    </row>
    <row r="39" spans="1:5">
      <c r="A39" s="37"/>
      <c r="C39" s="294"/>
      <c r="D39" s="193"/>
      <c r="E39" s="180"/>
    </row>
    <row r="40" spans="1:5">
      <c r="A40" s="37"/>
      <c r="C40" s="294"/>
      <c r="D40" s="87" t="s">
        <v>5</v>
      </c>
      <c r="E40" s="459" t="s">
        <v>6</v>
      </c>
    </row>
    <row r="41" spans="1:5">
      <c r="A41" s="37"/>
      <c r="C41" s="294"/>
      <c r="D41" s="10" t="s">
        <v>7</v>
      </c>
      <c r="E41" s="98" t="s">
        <v>7</v>
      </c>
    </row>
    <row r="42" spans="1:5" ht="25.5">
      <c r="A42" s="37" t="s">
        <v>503</v>
      </c>
      <c r="C42" s="292" t="s">
        <v>616</v>
      </c>
      <c r="D42" s="195"/>
      <c r="E42" s="252"/>
    </row>
    <row r="43" spans="1:5" ht="25.5">
      <c r="A43" s="37" t="s">
        <v>503</v>
      </c>
      <c r="C43" s="292" t="s">
        <v>617</v>
      </c>
      <c r="D43" s="195"/>
      <c r="E43" s="252"/>
    </row>
    <row r="44" spans="1:5">
      <c r="A44" s="37"/>
      <c r="C44" s="294"/>
      <c r="D44" s="195"/>
      <c r="E44" s="252"/>
    </row>
    <row r="45" spans="1:5" ht="31.9" customHeight="1">
      <c r="A45" s="37"/>
      <c r="C45" s="294"/>
      <c r="D45" s="348" t="s">
        <v>200</v>
      </c>
      <c r="E45" s="165" t="s">
        <v>28</v>
      </c>
    </row>
    <row r="46" spans="1:5">
      <c r="A46" s="37"/>
      <c r="C46" s="294"/>
      <c r="D46" s="10" t="s">
        <v>7</v>
      </c>
      <c r="E46" s="11" t="s">
        <v>7</v>
      </c>
    </row>
    <row r="47" spans="1:5">
      <c r="A47" s="37" t="s">
        <v>504</v>
      </c>
      <c r="C47" s="294" t="s">
        <v>505</v>
      </c>
      <c r="D47" s="195"/>
      <c r="E47" s="252"/>
    </row>
    <row r="48" spans="1:5">
      <c r="A48" s="37"/>
      <c r="C48" s="294" t="s">
        <v>506</v>
      </c>
      <c r="D48" s="195"/>
      <c r="E48" s="252"/>
    </row>
    <row r="49" spans="1:5">
      <c r="A49" s="37"/>
      <c r="C49" s="294" t="s">
        <v>507</v>
      </c>
      <c r="D49" s="195"/>
      <c r="E49" s="252"/>
    </row>
    <row r="50" spans="1:5">
      <c r="A50" s="37"/>
      <c r="C50" s="294" t="s">
        <v>508</v>
      </c>
      <c r="D50" s="195"/>
      <c r="E50" s="252"/>
    </row>
    <row r="51" spans="1:5">
      <c r="A51" s="37"/>
      <c r="C51" s="294"/>
      <c r="D51" s="195"/>
      <c r="E51" s="252"/>
    </row>
    <row r="52" spans="1:5" ht="13.5" thickBot="1">
      <c r="A52" s="39"/>
      <c r="B52" s="183"/>
      <c r="C52" s="184"/>
      <c r="D52" s="304"/>
      <c r="E52" s="305"/>
    </row>
  </sheetData>
  <mergeCells count="3">
    <mergeCell ref="A7:A8"/>
    <mergeCell ref="C10:E10"/>
    <mergeCell ref="C7:E8"/>
  </mergeCells>
  <pageMargins left="0.5" right="0.5" top="0.5" bottom="0.5" header="0.5" footer="0.5"/>
  <pageSetup scale="64"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pageSetUpPr fitToPage="1"/>
  </sheetPr>
  <dimension ref="A2:E22"/>
  <sheetViews>
    <sheetView showGridLines="0" view="pageBreakPreview" zoomScaleNormal="70" zoomScaleSheetLayoutView="100" workbookViewId="0">
      <selection activeCell="C9" sqref="C9"/>
    </sheetView>
  </sheetViews>
  <sheetFormatPr defaultColWidth="8.85546875" defaultRowHeight="12.75"/>
  <cols>
    <col min="1" max="1" width="11.85546875" style="33" bestFit="1" customWidth="1"/>
    <col min="2" max="2" width="8.85546875" style="186"/>
    <col min="3" max="3" width="52.140625" style="33" customWidth="1"/>
    <col min="4" max="4" width="21.140625" style="33" customWidth="1"/>
    <col min="5" max="5" width="22.7109375" style="33" customWidth="1"/>
    <col min="6" max="6" width="11.7109375" style="33" customWidth="1"/>
    <col min="7" max="7" width="12.7109375" style="33" bestFit="1" customWidth="1"/>
    <col min="8" max="16384" width="8.85546875" style="33"/>
  </cols>
  <sheetData>
    <row r="2" spans="1:5">
      <c r="A2" s="4"/>
      <c r="B2" s="90" t="s">
        <v>3</v>
      </c>
      <c r="D2" s="4"/>
      <c r="E2" s="4"/>
    </row>
    <row r="3" spans="1:5">
      <c r="A3" s="4"/>
      <c r="B3" s="90" t="s">
        <v>60</v>
      </c>
      <c r="D3" s="4"/>
      <c r="E3" s="4"/>
    </row>
    <row r="4" spans="1:5">
      <c r="A4" s="4"/>
      <c r="B4" s="33"/>
      <c r="D4" s="4"/>
      <c r="E4" s="4"/>
    </row>
    <row r="5" spans="1:5">
      <c r="A5" s="43" t="s">
        <v>128</v>
      </c>
      <c r="B5" s="90" t="s">
        <v>583</v>
      </c>
      <c r="D5" s="4"/>
      <c r="E5" s="4"/>
    </row>
    <row r="6" spans="1:5" ht="13.5" thickBot="1">
      <c r="A6" s="4"/>
      <c r="B6" s="22"/>
      <c r="C6" s="4"/>
      <c r="D6" s="4"/>
      <c r="E6" s="4"/>
    </row>
    <row r="7" spans="1:5" ht="25.5">
      <c r="A7" s="1505" t="s">
        <v>2</v>
      </c>
      <c r="B7" s="451" t="s">
        <v>88</v>
      </c>
      <c r="C7" s="1485" t="s">
        <v>26</v>
      </c>
      <c r="D7" s="6" t="s">
        <v>200</v>
      </c>
      <c r="E7" s="7" t="s">
        <v>28</v>
      </c>
    </row>
    <row r="8" spans="1:5">
      <c r="A8" s="1506"/>
      <c r="B8" s="117"/>
      <c r="C8" s="1488"/>
      <c r="D8" s="10" t="s">
        <v>7</v>
      </c>
      <c r="E8" s="11" t="s">
        <v>7</v>
      </c>
    </row>
    <row r="9" spans="1:5" ht="30.6" customHeight="1">
      <c r="A9" s="34" t="s">
        <v>803</v>
      </c>
      <c r="B9" s="186">
        <v>30.12</v>
      </c>
      <c r="C9" s="29" t="s">
        <v>215</v>
      </c>
      <c r="D9" s="195"/>
      <c r="E9" s="252"/>
    </row>
    <row r="10" spans="1:5">
      <c r="A10" s="37"/>
      <c r="C10" s="174" t="s">
        <v>216</v>
      </c>
      <c r="D10" s="195"/>
      <c r="E10" s="252"/>
    </row>
    <row r="11" spans="1:5">
      <c r="A11" s="37"/>
      <c r="C11" s="174" t="s">
        <v>494</v>
      </c>
      <c r="D11" s="195"/>
      <c r="E11" s="252"/>
    </row>
    <row r="12" spans="1:5">
      <c r="A12" s="37"/>
      <c r="C12" s="174" t="s">
        <v>217</v>
      </c>
      <c r="D12" s="195"/>
      <c r="E12" s="252"/>
    </row>
    <row r="13" spans="1:5">
      <c r="A13" s="37"/>
      <c r="C13" s="174" t="s">
        <v>218</v>
      </c>
      <c r="D13" s="195"/>
      <c r="E13" s="252"/>
    </row>
    <row r="14" spans="1:5">
      <c r="A14" s="37"/>
      <c r="C14" s="174" t="s">
        <v>219</v>
      </c>
      <c r="D14" s="195"/>
      <c r="E14" s="252"/>
    </row>
    <row r="15" spans="1:5">
      <c r="A15" s="37"/>
      <c r="C15" s="174" t="s">
        <v>220</v>
      </c>
      <c r="D15" s="195"/>
      <c r="E15" s="252"/>
    </row>
    <row r="16" spans="1:5">
      <c r="A16" s="37"/>
      <c r="C16" s="174" t="s">
        <v>221</v>
      </c>
      <c r="D16" s="195"/>
      <c r="E16" s="252"/>
    </row>
    <row r="17" spans="1:5">
      <c r="A17" s="37"/>
      <c r="C17" s="174" t="s">
        <v>222</v>
      </c>
      <c r="D17" s="195"/>
      <c r="E17" s="252"/>
    </row>
    <row r="18" spans="1:5">
      <c r="A18" s="37"/>
      <c r="C18" s="174" t="s">
        <v>79</v>
      </c>
      <c r="D18" s="200"/>
      <c r="E18" s="254"/>
    </row>
    <row r="19" spans="1:5">
      <c r="A19" s="37"/>
      <c r="C19" s="294"/>
      <c r="D19" s="195"/>
      <c r="E19" s="252"/>
    </row>
    <row r="20" spans="1:5">
      <c r="A20" s="37"/>
      <c r="C20" s="363" t="s">
        <v>43</v>
      </c>
      <c r="D20" s="200"/>
      <c r="E20" s="254"/>
    </row>
    <row r="21" spans="1:5">
      <c r="A21" s="37"/>
      <c r="C21" s="294"/>
      <c r="D21" s="195"/>
      <c r="E21" s="252"/>
    </row>
    <row r="22" spans="1:5" ht="13.5" thickBot="1">
      <c r="A22" s="39"/>
      <c r="B22" s="183"/>
      <c r="C22" s="184"/>
      <c r="D22" s="304"/>
      <c r="E22" s="305"/>
    </row>
  </sheetData>
  <mergeCells count="2">
    <mergeCell ref="A7:A8"/>
    <mergeCell ref="C7:C8"/>
  </mergeCells>
  <pageMargins left="0.5" right="0.5" top="0.5" bottom="0.5" header="0.5" footer="0.5"/>
  <pageSetup scale="81"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55">
    <pageSetUpPr fitToPage="1"/>
  </sheetPr>
  <dimension ref="A2:K20"/>
  <sheetViews>
    <sheetView showGridLines="0" view="pageBreakPreview" zoomScaleSheetLayoutView="100" workbookViewId="0"/>
  </sheetViews>
  <sheetFormatPr defaultColWidth="8.85546875" defaultRowHeight="12.75"/>
  <cols>
    <col min="1" max="1" width="10" style="33" customWidth="1"/>
    <col min="2" max="2" width="8.85546875" style="33"/>
    <col min="3" max="3" width="42.140625" style="33" customWidth="1"/>
    <col min="4" max="4" width="15.42578125" style="33" customWidth="1"/>
    <col min="5" max="5" width="15.28515625" style="33" customWidth="1"/>
    <col min="6" max="6" width="11.85546875" style="33" customWidth="1"/>
    <col min="7" max="7" width="10.28515625" style="33" customWidth="1"/>
    <col min="8" max="8" width="13.42578125" style="33" bestFit="1" customWidth="1"/>
    <col min="9" max="9" width="12.42578125" style="33" customWidth="1"/>
    <col min="10" max="10" width="14" style="33" customWidth="1"/>
    <col min="11" max="11" width="8.85546875" style="33" customWidth="1"/>
    <col min="12" max="16384" width="8.85546875" style="33"/>
  </cols>
  <sheetData>
    <row r="2" spans="1:11">
      <c r="A2" s="4"/>
      <c r="B2" s="90" t="s">
        <v>3</v>
      </c>
      <c r="D2" s="4"/>
      <c r="E2" s="4"/>
    </row>
    <row r="3" spans="1:11">
      <c r="A3" s="4"/>
      <c r="B3" s="90" t="s">
        <v>60</v>
      </c>
      <c r="D3" s="4"/>
      <c r="E3" s="4"/>
    </row>
    <row r="4" spans="1:11">
      <c r="A4" s="4"/>
      <c r="D4" s="4"/>
      <c r="E4" s="4"/>
    </row>
    <row r="5" spans="1:11">
      <c r="A5" s="43" t="s">
        <v>128</v>
      </c>
      <c r="B5" s="90" t="s">
        <v>583</v>
      </c>
      <c r="D5" s="4"/>
      <c r="E5" s="4"/>
    </row>
    <row r="6" spans="1:11" ht="13.5" thickBot="1">
      <c r="A6" s="4"/>
      <c r="B6" s="22"/>
      <c r="C6" s="4"/>
      <c r="D6" s="4"/>
      <c r="E6" s="4"/>
    </row>
    <row r="7" spans="1:11">
      <c r="A7" s="1505" t="s">
        <v>2</v>
      </c>
      <c r="B7" s="451" t="s">
        <v>88</v>
      </c>
      <c r="C7" s="1484"/>
      <c r="D7" s="250"/>
      <c r="E7" s="250" t="s">
        <v>26</v>
      </c>
      <c r="F7" s="187"/>
      <c r="G7" s="187"/>
      <c r="H7" s="187"/>
      <c r="I7" s="187"/>
      <c r="J7" s="187"/>
      <c r="K7" s="188"/>
    </row>
    <row r="8" spans="1:11">
      <c r="A8" s="1506"/>
      <c r="B8" s="117"/>
      <c r="C8" s="1487"/>
      <c r="D8" s="8"/>
      <c r="E8" s="8"/>
      <c r="F8" s="270"/>
      <c r="G8" s="270"/>
      <c r="H8" s="270"/>
      <c r="I8" s="270"/>
      <c r="J8" s="270"/>
      <c r="K8" s="306"/>
    </row>
    <row r="9" spans="1:11">
      <c r="A9" s="37" t="s">
        <v>804</v>
      </c>
      <c r="B9" s="181">
        <v>30.13</v>
      </c>
      <c r="C9" s="41" t="s">
        <v>509</v>
      </c>
      <c r="K9" s="36"/>
    </row>
    <row r="10" spans="1:11" ht="27.6" customHeight="1">
      <c r="A10" s="37"/>
      <c r="B10" s="181"/>
      <c r="C10" s="1509" t="s">
        <v>805</v>
      </c>
      <c r="D10" s="1510"/>
      <c r="E10" s="1510"/>
      <c r="F10" s="1510"/>
      <c r="G10" s="1510"/>
      <c r="H10" s="1510"/>
      <c r="I10" s="1510"/>
      <c r="J10" s="1510"/>
      <c r="K10" s="36"/>
    </row>
    <row r="11" spans="1:11">
      <c r="A11" s="37"/>
      <c r="B11" s="181"/>
      <c r="I11" s="307" t="s">
        <v>7</v>
      </c>
      <c r="K11" s="36"/>
    </row>
    <row r="12" spans="1:11" ht="25.5">
      <c r="A12" s="37" t="s">
        <v>510</v>
      </c>
      <c r="B12" s="181"/>
      <c r="C12" s="458" t="s">
        <v>749</v>
      </c>
      <c r="D12" s="458" t="s">
        <v>511</v>
      </c>
      <c r="E12" s="1456" t="s">
        <v>512</v>
      </c>
      <c r="F12" s="1456"/>
      <c r="G12" s="1456"/>
      <c r="H12" s="1456"/>
      <c r="I12" s="1456"/>
      <c r="J12" s="1456"/>
      <c r="K12" s="36"/>
    </row>
    <row r="13" spans="1:11" ht="38.25">
      <c r="A13" s="34" t="s">
        <v>513</v>
      </c>
      <c r="B13" s="181"/>
      <c r="C13" s="38"/>
      <c r="D13" s="38"/>
      <c r="E13" s="435" t="s">
        <v>514</v>
      </c>
      <c r="F13" s="435" t="s">
        <v>515</v>
      </c>
      <c r="G13" s="435" t="s">
        <v>516</v>
      </c>
      <c r="H13" s="435" t="s">
        <v>517</v>
      </c>
      <c r="I13" s="191" t="s">
        <v>134</v>
      </c>
      <c r="J13" s="191" t="s">
        <v>806</v>
      </c>
      <c r="K13" s="36"/>
    </row>
    <row r="14" spans="1:11">
      <c r="A14" s="37"/>
      <c r="B14" s="181"/>
      <c r="C14" s="193" t="s">
        <v>750</v>
      </c>
      <c r="D14" s="456" t="s">
        <v>695</v>
      </c>
      <c r="E14" s="456" t="s">
        <v>165</v>
      </c>
      <c r="F14" s="456" t="s">
        <v>165</v>
      </c>
      <c r="G14" s="456" t="s">
        <v>165</v>
      </c>
      <c r="H14" s="456" t="s">
        <v>165</v>
      </c>
      <c r="I14" s="456" t="s">
        <v>165</v>
      </c>
      <c r="J14" s="456" t="s">
        <v>165</v>
      </c>
      <c r="K14" s="36"/>
    </row>
    <row r="15" spans="1:11">
      <c r="A15" s="37"/>
      <c r="B15" s="181"/>
      <c r="C15" s="195"/>
      <c r="D15" s="153" t="s">
        <v>518</v>
      </c>
      <c r="E15" s="153" t="s">
        <v>321</v>
      </c>
      <c r="F15" s="153" t="s">
        <v>321</v>
      </c>
      <c r="G15" s="153" t="s">
        <v>321</v>
      </c>
      <c r="H15" s="153" t="s">
        <v>321</v>
      </c>
      <c r="I15" s="153" t="s">
        <v>321</v>
      </c>
      <c r="J15" s="153" t="s">
        <v>321</v>
      </c>
      <c r="K15" s="36"/>
    </row>
    <row r="16" spans="1:11">
      <c r="A16" s="37"/>
      <c r="B16" s="181"/>
      <c r="C16" s="195" t="s">
        <v>751</v>
      </c>
      <c r="D16" s="153" t="s">
        <v>695</v>
      </c>
      <c r="E16" s="153" t="s">
        <v>165</v>
      </c>
      <c r="F16" s="153" t="s">
        <v>165</v>
      </c>
      <c r="G16" s="153" t="s">
        <v>165</v>
      </c>
      <c r="H16" s="153" t="s">
        <v>165</v>
      </c>
      <c r="I16" s="153" t="s">
        <v>165</v>
      </c>
      <c r="J16" s="153" t="s">
        <v>165</v>
      </c>
      <c r="K16" s="36"/>
    </row>
    <row r="17" spans="1:11">
      <c r="A17" s="37"/>
      <c r="B17" s="181"/>
      <c r="C17" s="200"/>
      <c r="D17" s="148" t="s">
        <v>518</v>
      </c>
      <c r="E17" s="148" t="s">
        <v>321</v>
      </c>
      <c r="F17" s="148" t="s">
        <v>321</v>
      </c>
      <c r="G17" s="148" t="s">
        <v>321</v>
      </c>
      <c r="H17" s="148" t="s">
        <v>321</v>
      </c>
      <c r="I17" s="148" t="s">
        <v>321</v>
      </c>
      <c r="J17" s="148" t="s">
        <v>321</v>
      </c>
      <c r="K17" s="36"/>
    </row>
    <row r="18" spans="1:11">
      <c r="A18" s="37"/>
      <c r="B18" s="181"/>
      <c r="C18" s="179" t="s">
        <v>168</v>
      </c>
      <c r="D18" s="179"/>
      <c r="E18" s="179"/>
      <c r="F18" s="179"/>
      <c r="G18" s="179"/>
      <c r="H18" s="179"/>
      <c r="K18" s="36"/>
    </row>
    <row r="19" spans="1:11">
      <c r="A19" s="37"/>
      <c r="B19" s="131"/>
      <c r="K19" s="36"/>
    </row>
    <row r="20" spans="1:11" ht="13.5" thickBot="1">
      <c r="A20" s="39"/>
      <c r="B20" s="319"/>
      <c r="C20" s="185"/>
      <c r="D20" s="185"/>
      <c r="E20" s="185"/>
      <c r="F20" s="185"/>
      <c r="G20" s="185"/>
      <c r="H20" s="185"/>
      <c r="I20" s="185"/>
      <c r="J20" s="185"/>
      <c r="K20" s="40"/>
    </row>
  </sheetData>
  <mergeCells count="4">
    <mergeCell ref="A7:A8"/>
    <mergeCell ref="C7:C8"/>
    <mergeCell ref="C10:J10"/>
    <mergeCell ref="E12:J12"/>
  </mergeCells>
  <pageMargins left="0.5" right="0.5" top="0.5" bottom="0.5" header="0.5" footer="0.5"/>
  <pageSetup scale="78" fitToHeight="0"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56">
    <pageSetUpPr fitToPage="1"/>
  </sheetPr>
  <dimension ref="A2:I34"/>
  <sheetViews>
    <sheetView showGridLines="0" view="pageBreakPreview" zoomScaleSheetLayoutView="100" workbookViewId="0"/>
  </sheetViews>
  <sheetFormatPr defaultColWidth="8.85546875" defaultRowHeight="12.75"/>
  <cols>
    <col min="1" max="1" width="10" style="33" customWidth="1"/>
    <col min="2" max="2" width="8.85546875" style="33"/>
    <col min="3" max="3" width="53.28515625" style="33" customWidth="1"/>
    <col min="4" max="4" width="22" style="33" bestFit="1" customWidth="1"/>
    <col min="5" max="5" width="21.7109375" style="33" bestFit="1" customWidth="1"/>
    <col min="6" max="6" width="12.140625" style="33" customWidth="1"/>
    <col min="7" max="7" width="16.140625" style="33" customWidth="1"/>
    <col min="8" max="8" width="22" style="33" bestFit="1" customWidth="1"/>
    <col min="9" max="16384" width="8.85546875" style="33"/>
  </cols>
  <sheetData>
    <row r="2" spans="1:9">
      <c r="A2" s="4"/>
      <c r="B2" s="90" t="s">
        <v>3</v>
      </c>
      <c r="D2" s="4"/>
      <c r="E2" s="4"/>
    </row>
    <row r="3" spans="1:9">
      <c r="A3" s="4"/>
      <c r="B3" s="90" t="s">
        <v>60</v>
      </c>
      <c r="D3" s="4"/>
      <c r="E3" s="4"/>
    </row>
    <row r="4" spans="1:9">
      <c r="A4" s="4"/>
      <c r="D4" s="4"/>
      <c r="E4" s="4"/>
    </row>
    <row r="5" spans="1:9">
      <c r="A5" s="43" t="s">
        <v>128</v>
      </c>
      <c r="B5" s="90" t="s">
        <v>583</v>
      </c>
      <c r="D5" s="4"/>
      <c r="E5" s="4"/>
    </row>
    <row r="6" spans="1:9" ht="13.5" thickBot="1">
      <c r="A6" s="4"/>
      <c r="B6" s="22"/>
      <c r="C6" s="4"/>
      <c r="D6" s="4"/>
      <c r="E6" s="4"/>
    </row>
    <row r="7" spans="1:9">
      <c r="A7" s="1505" t="s">
        <v>2</v>
      </c>
      <c r="B7" s="451" t="s">
        <v>88</v>
      </c>
      <c r="C7" s="1484"/>
      <c r="D7" s="250" t="s">
        <v>26</v>
      </c>
      <c r="E7" s="250"/>
      <c r="F7" s="187"/>
      <c r="G7" s="187"/>
      <c r="H7" s="187"/>
      <c r="I7" s="188"/>
    </row>
    <row r="8" spans="1:9">
      <c r="A8" s="1506"/>
      <c r="B8" s="452"/>
      <c r="C8" s="1487"/>
      <c r="D8" s="8"/>
      <c r="E8" s="8"/>
      <c r="F8" s="270"/>
      <c r="G8" s="270"/>
      <c r="H8" s="270"/>
      <c r="I8" s="306"/>
    </row>
    <row r="9" spans="1:9">
      <c r="A9" s="513" t="s">
        <v>807</v>
      </c>
      <c r="B9" s="181">
        <v>30.14</v>
      </c>
      <c r="C9" s="519" t="s">
        <v>808</v>
      </c>
      <c r="D9" s="518"/>
      <c r="E9" s="518"/>
      <c r="F9" s="179"/>
      <c r="G9" s="179"/>
      <c r="H9" s="179"/>
      <c r="I9" s="36"/>
    </row>
    <row r="10" spans="1:9" ht="54" customHeight="1">
      <c r="A10" s="34" t="s">
        <v>519</v>
      </c>
      <c r="B10" s="255"/>
      <c r="C10" s="1584" t="s">
        <v>809</v>
      </c>
      <c r="D10" s="1585"/>
      <c r="E10" s="1585"/>
      <c r="F10" s="1585"/>
      <c r="G10" s="1585"/>
      <c r="H10" s="1585"/>
      <c r="I10" s="36"/>
    </row>
    <row r="11" spans="1:9" ht="51">
      <c r="A11" s="37"/>
      <c r="B11" s="131"/>
      <c r="C11" s="352" t="s">
        <v>26</v>
      </c>
      <c r="D11" s="107" t="s">
        <v>743</v>
      </c>
      <c r="E11" s="107" t="s">
        <v>82</v>
      </c>
      <c r="F11" s="107" t="s">
        <v>520</v>
      </c>
      <c r="G11" s="107" t="s">
        <v>521</v>
      </c>
      <c r="H11" s="107" t="s">
        <v>5</v>
      </c>
      <c r="I11" s="36"/>
    </row>
    <row r="12" spans="1:9">
      <c r="A12" s="37"/>
      <c r="B12" s="131"/>
      <c r="C12" s="308"/>
      <c r="D12" s="256" t="s">
        <v>7</v>
      </c>
      <c r="E12" s="257" t="s">
        <v>7</v>
      </c>
      <c r="F12" s="256" t="s">
        <v>7</v>
      </c>
      <c r="G12" s="257" t="s">
        <v>7</v>
      </c>
      <c r="H12" s="256" t="s">
        <v>7</v>
      </c>
      <c r="I12" s="36"/>
    </row>
    <row r="13" spans="1:9">
      <c r="A13" s="37"/>
      <c r="B13" s="131"/>
      <c r="C13" s="1583" t="s">
        <v>47</v>
      </c>
      <c r="D13" s="309" t="s">
        <v>23</v>
      </c>
      <c r="E13" s="309" t="s">
        <v>23</v>
      </c>
      <c r="F13" s="309" t="s">
        <v>23</v>
      </c>
      <c r="G13" s="309" t="s">
        <v>23</v>
      </c>
      <c r="H13" s="309" t="s">
        <v>23</v>
      </c>
      <c r="I13" s="36"/>
    </row>
    <row r="14" spans="1:9">
      <c r="A14" s="37"/>
      <c r="B14" s="131"/>
      <c r="C14" s="1583"/>
      <c r="D14" s="310" t="s">
        <v>321</v>
      </c>
      <c r="E14" s="310" t="s">
        <v>321</v>
      </c>
      <c r="F14" s="310" t="s">
        <v>321</v>
      </c>
      <c r="G14" s="310" t="s">
        <v>321</v>
      </c>
      <c r="H14" s="310" t="s">
        <v>321</v>
      </c>
      <c r="I14" s="36"/>
    </row>
    <row r="15" spans="1:9">
      <c r="A15" s="37"/>
      <c r="B15" s="131"/>
      <c r="C15" s="266"/>
      <c r="D15" s="311"/>
      <c r="E15" s="311"/>
      <c r="F15" s="311"/>
      <c r="G15" s="311"/>
      <c r="H15" s="311"/>
      <c r="I15" s="36"/>
    </row>
    <row r="16" spans="1:9">
      <c r="A16" s="37"/>
      <c r="B16" s="131"/>
      <c r="C16" s="1583" t="s">
        <v>522</v>
      </c>
      <c r="D16" s="309" t="s">
        <v>23</v>
      </c>
      <c r="E16" s="309" t="s">
        <v>23</v>
      </c>
      <c r="F16" s="309" t="s">
        <v>23</v>
      </c>
      <c r="G16" s="309" t="s">
        <v>23</v>
      </c>
      <c r="H16" s="309" t="s">
        <v>23</v>
      </c>
      <c r="I16" s="36"/>
    </row>
    <row r="17" spans="1:9">
      <c r="A17" s="37"/>
      <c r="B17" s="131"/>
      <c r="C17" s="1583"/>
      <c r="D17" s="310" t="s">
        <v>321</v>
      </c>
      <c r="E17" s="310" t="s">
        <v>321</v>
      </c>
      <c r="F17" s="310" t="s">
        <v>321</v>
      </c>
      <c r="G17" s="310" t="s">
        <v>321</v>
      </c>
      <c r="H17" s="310" t="s">
        <v>321</v>
      </c>
      <c r="I17" s="36"/>
    </row>
    <row r="18" spans="1:9">
      <c r="A18" s="37"/>
      <c r="B18" s="131"/>
      <c r="C18" s="266"/>
      <c r="D18" s="311"/>
      <c r="E18" s="311"/>
      <c r="F18" s="311"/>
      <c r="G18" s="311"/>
      <c r="H18" s="311"/>
      <c r="I18" s="36"/>
    </row>
    <row r="19" spans="1:9">
      <c r="A19" s="37"/>
      <c r="B19" s="131"/>
      <c r="C19" s="266" t="s">
        <v>523</v>
      </c>
      <c r="D19" s="309" t="s">
        <v>23</v>
      </c>
      <c r="E19" s="309" t="s">
        <v>23</v>
      </c>
      <c r="F19" s="309" t="s">
        <v>23</v>
      </c>
      <c r="G19" s="309" t="s">
        <v>23</v>
      </c>
      <c r="H19" s="309" t="s">
        <v>23</v>
      </c>
      <c r="I19" s="36"/>
    </row>
    <row r="20" spans="1:9">
      <c r="A20" s="37"/>
      <c r="B20" s="131"/>
      <c r="C20" s="266"/>
      <c r="D20" s="310" t="s">
        <v>321</v>
      </c>
      <c r="E20" s="310" t="s">
        <v>321</v>
      </c>
      <c r="F20" s="310" t="s">
        <v>321</v>
      </c>
      <c r="G20" s="310" t="s">
        <v>321</v>
      </c>
      <c r="H20" s="310" t="s">
        <v>321</v>
      </c>
      <c r="I20" s="36"/>
    </row>
    <row r="21" spans="1:9">
      <c r="A21" s="37"/>
      <c r="B21" s="131"/>
      <c r="C21" s="266"/>
      <c r="D21" s="311"/>
      <c r="E21" s="311"/>
      <c r="F21" s="311"/>
      <c r="G21" s="311"/>
      <c r="H21" s="311"/>
      <c r="I21" s="36"/>
    </row>
    <row r="22" spans="1:9">
      <c r="A22" s="37"/>
      <c r="B22" s="131"/>
      <c r="C22" s="1586" t="s">
        <v>43</v>
      </c>
      <c r="D22" s="312" t="s">
        <v>23</v>
      </c>
      <c r="E22" s="312" t="s">
        <v>23</v>
      </c>
      <c r="F22" s="312" t="s">
        <v>23</v>
      </c>
      <c r="G22" s="312" t="s">
        <v>23</v>
      </c>
      <c r="H22" s="312" t="s">
        <v>23</v>
      </c>
      <c r="I22" s="36"/>
    </row>
    <row r="23" spans="1:9">
      <c r="A23" s="37"/>
      <c r="B23" s="131"/>
      <c r="C23" s="1587"/>
      <c r="D23" s="313" t="s">
        <v>321</v>
      </c>
      <c r="E23" s="313" t="s">
        <v>321</v>
      </c>
      <c r="F23" s="313" t="s">
        <v>321</v>
      </c>
      <c r="G23" s="313" t="s">
        <v>321</v>
      </c>
      <c r="H23" s="313" t="s">
        <v>321</v>
      </c>
      <c r="I23" s="36"/>
    </row>
    <row r="24" spans="1:9">
      <c r="A24" s="37"/>
      <c r="B24" s="131"/>
      <c r="C24" s="1588" t="s">
        <v>772</v>
      </c>
      <c r="D24" s="1588"/>
      <c r="E24" s="1588"/>
      <c r="F24" s="1588"/>
      <c r="G24" s="1588"/>
      <c r="H24" s="314"/>
      <c r="I24" s="36"/>
    </row>
    <row r="25" spans="1:9">
      <c r="A25" s="37"/>
      <c r="B25" s="131"/>
      <c r="C25" s="354"/>
      <c r="D25" s="354"/>
      <c r="E25" s="315"/>
      <c r="F25" s="354"/>
      <c r="G25" s="354"/>
      <c r="H25" s="314"/>
      <c r="I25" s="36"/>
    </row>
    <row r="26" spans="1:9" ht="18" customHeight="1">
      <c r="A26" s="37"/>
      <c r="B26" s="131"/>
      <c r="C26" s="1564" t="s">
        <v>524</v>
      </c>
      <c r="D26" s="1564"/>
      <c r="E26" s="1564"/>
      <c r="F26" s="1564"/>
      <c r="G26" s="1564"/>
      <c r="H26" s="1568"/>
      <c r="I26" s="36"/>
    </row>
    <row r="27" spans="1:9">
      <c r="A27" s="37" t="s">
        <v>525</v>
      </c>
      <c r="B27" s="131"/>
      <c r="C27" s="352" t="s">
        <v>26</v>
      </c>
      <c r="D27" s="347" t="s">
        <v>5</v>
      </c>
      <c r="E27" s="347" t="s">
        <v>6</v>
      </c>
      <c r="F27" s="20"/>
      <c r="G27" s="20"/>
      <c r="H27" s="314"/>
      <c r="I27" s="36"/>
    </row>
    <row r="28" spans="1:9">
      <c r="A28" s="37"/>
      <c r="B28" s="131"/>
      <c r="C28" s="265"/>
      <c r="D28" s="256" t="s">
        <v>7</v>
      </c>
      <c r="E28" s="257" t="s">
        <v>7</v>
      </c>
      <c r="F28" s="20"/>
      <c r="G28" s="20"/>
      <c r="H28" s="314"/>
      <c r="I28" s="36"/>
    </row>
    <row r="29" spans="1:9">
      <c r="A29" s="37"/>
      <c r="B29" s="131"/>
      <c r="C29" s="1583" t="s">
        <v>47</v>
      </c>
      <c r="D29" s="316" t="s">
        <v>165</v>
      </c>
      <c r="E29" s="316" t="s">
        <v>165</v>
      </c>
      <c r="F29" s="20"/>
      <c r="G29" s="20"/>
      <c r="H29" s="314"/>
      <c r="I29" s="36"/>
    </row>
    <row r="30" spans="1:9">
      <c r="A30" s="37"/>
      <c r="B30" s="131"/>
      <c r="C30" s="1583"/>
      <c r="D30" s="316"/>
      <c r="E30" s="316"/>
      <c r="F30" s="20"/>
      <c r="G30" s="20"/>
      <c r="H30" s="314"/>
      <c r="I30" s="36"/>
    </row>
    <row r="31" spans="1:9">
      <c r="A31" s="37"/>
      <c r="B31" s="131"/>
      <c r="C31" s="1583" t="s">
        <v>522</v>
      </c>
      <c r="D31" s="316" t="s">
        <v>165</v>
      </c>
      <c r="E31" s="316" t="s">
        <v>165</v>
      </c>
      <c r="F31" s="20"/>
      <c r="G31" s="20"/>
      <c r="H31" s="314"/>
      <c r="I31" s="36"/>
    </row>
    <row r="32" spans="1:9">
      <c r="A32" s="37"/>
      <c r="B32" s="131"/>
      <c r="C32" s="1583"/>
      <c r="D32" s="316"/>
      <c r="E32" s="316"/>
      <c r="F32" s="20"/>
      <c r="G32" s="20"/>
      <c r="H32" s="314"/>
      <c r="I32" s="36"/>
    </row>
    <row r="33" spans="1:9" ht="17.45" customHeight="1">
      <c r="A33" s="37"/>
      <c r="B33" s="131"/>
      <c r="C33" s="268" t="s">
        <v>523</v>
      </c>
      <c r="D33" s="317" t="s">
        <v>165</v>
      </c>
      <c r="E33" s="317" t="s">
        <v>165</v>
      </c>
      <c r="F33" s="318"/>
      <c r="G33" s="318"/>
      <c r="H33" s="346"/>
      <c r="I33" s="36"/>
    </row>
    <row r="34" spans="1:9" ht="13.5" thickBot="1">
      <c r="A34" s="39"/>
      <c r="B34" s="319"/>
      <c r="C34" s="185"/>
      <c r="D34" s="185"/>
      <c r="E34" s="185"/>
      <c r="F34" s="185"/>
      <c r="G34" s="185"/>
      <c r="H34" s="185"/>
      <c r="I34" s="40"/>
    </row>
  </sheetData>
  <mergeCells count="10">
    <mergeCell ref="C31:C32"/>
    <mergeCell ref="A7:A8"/>
    <mergeCell ref="C7:C8"/>
    <mergeCell ref="C10:H10"/>
    <mergeCell ref="C13:C14"/>
    <mergeCell ref="C16:C17"/>
    <mergeCell ref="C22:C23"/>
    <mergeCell ref="C24:G24"/>
    <mergeCell ref="C26:H26"/>
    <mergeCell ref="C29:C30"/>
  </mergeCells>
  <pageMargins left="0.5" right="0.5" top="0.5" bottom="0.5" header="0.5" footer="0.5"/>
  <pageSetup scale="72" fitToHeight="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57">
    <pageSetUpPr fitToPage="1"/>
  </sheetPr>
  <dimension ref="A2:G80"/>
  <sheetViews>
    <sheetView showGridLines="0" view="pageBreakPreview" zoomScaleNormal="90" zoomScaleSheetLayoutView="100" workbookViewId="0">
      <selection activeCell="A68" sqref="A68"/>
    </sheetView>
  </sheetViews>
  <sheetFormatPr defaultColWidth="9.140625" defaultRowHeight="12.75"/>
  <cols>
    <col min="1" max="1" width="13.85546875" style="20" customWidth="1"/>
    <col min="2" max="2" width="5.42578125" style="20" customWidth="1"/>
    <col min="3" max="3" width="50.28515625" style="20" customWidth="1"/>
    <col min="4" max="4" width="22" style="20" customWidth="1"/>
    <col min="5" max="5" width="23" style="20" customWidth="1"/>
    <col min="6" max="6" width="21.7109375" style="20" customWidth="1"/>
    <col min="7" max="7" width="21.28515625" style="20" customWidth="1"/>
    <col min="8" max="16384" width="9.140625" style="20"/>
  </cols>
  <sheetData>
    <row r="2" spans="1:7">
      <c r="B2" s="320" t="s">
        <v>3</v>
      </c>
      <c r="C2" s="320"/>
    </row>
    <row r="3" spans="1:7">
      <c r="B3" s="90" t="s">
        <v>60</v>
      </c>
      <c r="C3" s="90"/>
    </row>
    <row r="4" spans="1:7">
      <c r="B4" s="321"/>
      <c r="C4" s="321"/>
    </row>
    <row r="5" spans="1:7">
      <c r="A5" s="43" t="s">
        <v>128</v>
      </c>
      <c r="B5" s="90" t="s">
        <v>773</v>
      </c>
      <c r="C5" s="90"/>
    </row>
    <row r="6" spans="1:7" ht="13.5" thickBot="1">
      <c r="A6" s="43"/>
      <c r="C6" s="90"/>
    </row>
    <row r="7" spans="1:7" ht="15" customHeight="1">
      <c r="A7" s="474" t="s">
        <v>2</v>
      </c>
      <c r="B7" s="475" t="s">
        <v>88</v>
      </c>
      <c r="C7" s="1545" t="s">
        <v>26</v>
      </c>
      <c r="D7" s="1545"/>
      <c r="E7" s="1545"/>
      <c r="F7" s="1545"/>
      <c r="G7" s="1591"/>
    </row>
    <row r="8" spans="1:7">
      <c r="A8" s="322"/>
      <c r="B8" s="472">
        <v>31</v>
      </c>
      <c r="C8" s="473" t="s">
        <v>526</v>
      </c>
      <c r="G8" s="323"/>
    </row>
    <row r="9" spans="1:7">
      <c r="A9" s="322"/>
      <c r="B9" s="96"/>
      <c r="G9" s="323"/>
    </row>
    <row r="10" spans="1:7" ht="31.9" customHeight="1">
      <c r="A10" s="322" t="s">
        <v>708</v>
      </c>
      <c r="B10" s="96" t="s">
        <v>527</v>
      </c>
      <c r="C10" s="1491" t="s">
        <v>774</v>
      </c>
      <c r="D10" s="1491"/>
      <c r="E10" s="1491"/>
      <c r="F10" s="1491"/>
      <c r="G10" s="1492"/>
    </row>
    <row r="11" spans="1:7" ht="30" customHeight="1">
      <c r="A11" s="322"/>
      <c r="B11" s="96"/>
      <c r="C11" s="1491" t="s">
        <v>528</v>
      </c>
      <c r="D11" s="1491"/>
      <c r="E11" s="1491"/>
      <c r="F11" s="1491"/>
      <c r="G11" s="1492"/>
    </row>
    <row r="12" spans="1:7" ht="45" customHeight="1">
      <c r="A12" s="322"/>
      <c r="B12" s="96"/>
      <c r="C12" s="1491" t="s">
        <v>649</v>
      </c>
      <c r="D12" s="1491"/>
      <c r="E12" s="1491"/>
      <c r="F12" s="1491"/>
      <c r="G12" s="1492"/>
    </row>
    <row r="13" spans="1:7" ht="30" customHeight="1">
      <c r="A13" s="322" t="s">
        <v>709</v>
      </c>
      <c r="B13" s="96"/>
      <c r="C13" s="1491" t="s">
        <v>614</v>
      </c>
      <c r="D13" s="1491"/>
      <c r="E13" s="1491"/>
      <c r="F13" s="1491"/>
      <c r="G13" s="1492"/>
    </row>
    <row r="14" spans="1:7">
      <c r="A14" s="322"/>
      <c r="B14" s="96"/>
      <c r="C14" s="1592"/>
      <c r="D14" s="1592"/>
      <c r="E14" s="1592"/>
      <c r="F14" s="1592"/>
      <c r="G14" s="1593"/>
    </row>
    <row r="15" spans="1:7" ht="30.6" customHeight="1">
      <c r="A15" s="322" t="s">
        <v>708</v>
      </c>
      <c r="B15" s="96" t="s">
        <v>529</v>
      </c>
      <c r="C15" s="1589" t="s">
        <v>530</v>
      </c>
      <c r="D15" s="1589"/>
      <c r="E15" s="1589"/>
      <c r="F15" s="1589"/>
      <c r="G15" s="1590"/>
    </row>
    <row r="16" spans="1:7" ht="56.25" customHeight="1">
      <c r="A16" s="322"/>
      <c r="B16" s="96"/>
      <c r="C16" s="1589" t="s">
        <v>647</v>
      </c>
      <c r="D16" s="1589"/>
      <c r="E16" s="1589"/>
      <c r="F16" s="1589"/>
      <c r="G16" s="1590"/>
    </row>
    <row r="17" spans="1:7" ht="28.5" customHeight="1">
      <c r="A17" s="322"/>
      <c r="B17" s="96"/>
      <c r="C17" s="1491" t="s">
        <v>630</v>
      </c>
      <c r="D17" s="1491"/>
      <c r="E17" s="1491"/>
      <c r="F17" s="1491"/>
      <c r="G17" s="1492"/>
    </row>
    <row r="18" spans="1:7">
      <c r="A18" s="322"/>
      <c r="B18" s="96"/>
      <c r="C18" s="1592"/>
      <c r="D18" s="1592"/>
      <c r="E18" s="1592"/>
      <c r="F18" s="1592"/>
      <c r="G18" s="1593"/>
    </row>
    <row r="19" spans="1:7" ht="28.5" customHeight="1">
      <c r="A19" s="322" t="s">
        <v>708</v>
      </c>
      <c r="B19" s="96" t="s">
        <v>531</v>
      </c>
      <c r="C19" s="1589" t="s">
        <v>663</v>
      </c>
      <c r="D19" s="1589"/>
      <c r="E19" s="1589"/>
      <c r="F19" s="1589"/>
      <c r="G19" s="1590"/>
    </row>
    <row r="20" spans="1:7" ht="29.45" customHeight="1">
      <c r="A20" s="322"/>
      <c r="B20" s="96"/>
      <c r="C20" s="1589" t="s">
        <v>648</v>
      </c>
      <c r="D20" s="1589"/>
      <c r="E20" s="1589"/>
      <c r="F20" s="1589"/>
      <c r="G20" s="1590"/>
    </row>
    <row r="21" spans="1:7" ht="30.6" customHeight="1">
      <c r="A21" s="322"/>
      <c r="B21" s="96"/>
      <c r="C21" s="1491" t="s">
        <v>631</v>
      </c>
      <c r="D21" s="1491"/>
      <c r="E21" s="1491"/>
      <c r="F21" s="1491"/>
      <c r="G21" s="1492"/>
    </row>
    <row r="22" spans="1:7">
      <c r="A22" s="322"/>
      <c r="B22" s="96"/>
      <c r="C22" s="124"/>
      <c r="D22" s="124"/>
      <c r="E22" s="124"/>
      <c r="F22" s="124"/>
      <c r="G22" s="324"/>
    </row>
    <row r="23" spans="1:7">
      <c r="A23" s="322" t="s">
        <v>710</v>
      </c>
      <c r="B23" s="96" t="s">
        <v>532</v>
      </c>
      <c r="C23" s="20" t="s">
        <v>686</v>
      </c>
      <c r="G23" s="323"/>
    </row>
    <row r="24" spans="1:7">
      <c r="A24" s="322"/>
      <c r="B24" s="96"/>
      <c r="G24" s="325"/>
    </row>
    <row r="25" spans="1:7" ht="25.9" customHeight="1">
      <c r="A25" s="322"/>
      <c r="B25" s="96"/>
      <c r="C25" s="462" t="s">
        <v>26</v>
      </c>
      <c r="D25" s="1594" t="s">
        <v>687</v>
      </c>
      <c r="E25" s="1595"/>
      <c r="F25" s="1596" t="s">
        <v>688</v>
      </c>
      <c r="G25" s="1597"/>
    </row>
    <row r="26" spans="1:7" ht="54" customHeight="1">
      <c r="A26" s="322"/>
      <c r="B26" s="96"/>
      <c r="C26" s="463"/>
      <c r="D26" s="326" t="s">
        <v>689</v>
      </c>
      <c r="E26" s="326" t="s">
        <v>533</v>
      </c>
      <c r="F26" s="326" t="s">
        <v>689</v>
      </c>
      <c r="G26" s="327" t="s">
        <v>533</v>
      </c>
    </row>
    <row r="27" spans="1:7">
      <c r="A27" s="322"/>
      <c r="B27" s="96"/>
      <c r="C27" s="464" t="s">
        <v>690</v>
      </c>
      <c r="D27" s="328"/>
      <c r="E27" s="328"/>
      <c r="F27" s="328"/>
      <c r="G27" s="329"/>
    </row>
    <row r="28" spans="1:7">
      <c r="A28" s="322"/>
      <c r="B28" s="96"/>
      <c r="C28" s="465" t="s">
        <v>534</v>
      </c>
      <c r="D28" s="330"/>
      <c r="E28" s="331"/>
      <c r="F28" s="330"/>
      <c r="G28" s="332"/>
    </row>
    <row r="29" spans="1:7">
      <c r="A29" s="322"/>
      <c r="B29" s="96"/>
      <c r="C29" s="465" t="s">
        <v>535</v>
      </c>
      <c r="D29" s="330"/>
      <c r="E29" s="331"/>
      <c r="F29" s="330"/>
      <c r="G29" s="332"/>
    </row>
    <row r="30" spans="1:7">
      <c r="A30" s="322"/>
      <c r="B30" s="96"/>
      <c r="C30" s="465" t="s">
        <v>536</v>
      </c>
      <c r="D30" s="330"/>
      <c r="E30" s="331"/>
      <c r="F30" s="333"/>
      <c r="G30" s="334"/>
    </row>
    <row r="31" spans="1:7">
      <c r="A31" s="322"/>
      <c r="B31" s="96"/>
      <c r="C31" s="465" t="s">
        <v>537</v>
      </c>
      <c r="D31" s="331"/>
      <c r="E31" s="331"/>
      <c r="F31" s="331"/>
      <c r="G31" s="332"/>
    </row>
    <row r="32" spans="1:7">
      <c r="A32" s="322"/>
      <c r="B32" s="96"/>
      <c r="C32" s="465" t="s">
        <v>534</v>
      </c>
      <c r="D32" s="333"/>
      <c r="E32" s="333"/>
      <c r="F32" s="333"/>
      <c r="G32" s="334"/>
    </row>
    <row r="33" spans="1:7">
      <c r="A33" s="322"/>
      <c r="B33" s="96"/>
      <c r="C33" s="465" t="s">
        <v>535</v>
      </c>
      <c r="D33" s="330"/>
      <c r="E33" s="331"/>
      <c r="F33" s="330"/>
      <c r="G33" s="332"/>
    </row>
    <row r="34" spans="1:7">
      <c r="A34" s="322"/>
      <c r="B34" s="96"/>
      <c r="C34" s="465" t="s">
        <v>536</v>
      </c>
      <c r="D34" s="333"/>
      <c r="E34" s="333"/>
      <c r="F34" s="330"/>
      <c r="G34" s="332"/>
    </row>
    <row r="35" spans="1:7">
      <c r="A35" s="322"/>
      <c r="B35" s="96"/>
      <c r="C35" s="465" t="s">
        <v>538</v>
      </c>
      <c r="D35" s="331"/>
      <c r="E35" s="331"/>
      <c r="F35" s="331"/>
      <c r="G35" s="332"/>
    </row>
    <row r="36" spans="1:7">
      <c r="A36" s="322"/>
      <c r="B36" s="96"/>
      <c r="C36" s="465" t="s">
        <v>534</v>
      </c>
      <c r="D36" s="330"/>
      <c r="E36" s="331"/>
      <c r="F36" s="330"/>
      <c r="G36" s="332"/>
    </row>
    <row r="37" spans="1:7">
      <c r="A37" s="322"/>
      <c r="B37" s="96"/>
      <c r="C37" s="465" t="s">
        <v>535</v>
      </c>
      <c r="D37" s="330"/>
      <c r="E37" s="331"/>
      <c r="F37" s="330"/>
      <c r="G37" s="332"/>
    </row>
    <row r="38" spans="1:7">
      <c r="A38" s="322"/>
      <c r="B38" s="96"/>
      <c r="C38" s="465" t="s">
        <v>536</v>
      </c>
      <c r="D38" s="330"/>
      <c r="E38" s="331"/>
      <c r="F38" s="333"/>
      <c r="G38" s="334"/>
    </row>
    <row r="39" spans="1:7">
      <c r="A39" s="322"/>
      <c r="B39" s="96"/>
      <c r="C39" s="465" t="s">
        <v>539</v>
      </c>
      <c r="D39" s="331"/>
      <c r="E39" s="331"/>
      <c r="F39" s="331"/>
      <c r="G39" s="332"/>
    </row>
    <row r="40" spans="1:7">
      <c r="A40" s="322"/>
      <c r="B40" s="96"/>
      <c r="C40" s="465" t="s">
        <v>534</v>
      </c>
      <c r="D40" s="330"/>
      <c r="E40" s="331"/>
      <c r="F40" s="330"/>
      <c r="G40" s="332"/>
    </row>
    <row r="41" spans="1:7">
      <c r="A41" s="322"/>
      <c r="B41" s="96"/>
      <c r="C41" s="465" t="s">
        <v>535</v>
      </c>
      <c r="D41" s="330"/>
      <c r="E41" s="331"/>
      <c r="F41" s="330"/>
      <c r="G41" s="332"/>
    </row>
    <row r="42" spans="1:7">
      <c r="A42" s="322"/>
      <c r="B42" s="96"/>
      <c r="C42" s="465" t="s">
        <v>536</v>
      </c>
      <c r="D42" s="330"/>
      <c r="E42" s="331"/>
      <c r="F42" s="333"/>
      <c r="G42" s="334"/>
    </row>
    <row r="43" spans="1:7">
      <c r="A43" s="322"/>
      <c r="B43" s="96"/>
      <c r="C43" s="465" t="s">
        <v>540</v>
      </c>
      <c r="D43" s="331"/>
      <c r="E43" s="331"/>
      <c r="F43" s="331"/>
      <c r="G43" s="332"/>
    </row>
    <row r="44" spans="1:7">
      <c r="A44" s="322"/>
      <c r="B44" s="96"/>
      <c r="C44" s="465" t="s">
        <v>534</v>
      </c>
      <c r="D44" s="330"/>
      <c r="E44" s="331"/>
      <c r="F44" s="330"/>
      <c r="G44" s="332"/>
    </row>
    <row r="45" spans="1:7">
      <c r="A45" s="322"/>
      <c r="B45" s="96"/>
      <c r="C45" s="465" t="s">
        <v>535</v>
      </c>
      <c r="D45" s="330"/>
      <c r="E45" s="331"/>
      <c r="F45" s="330"/>
      <c r="G45" s="332"/>
    </row>
    <row r="46" spans="1:7">
      <c r="A46" s="322"/>
      <c r="B46" s="96"/>
      <c r="C46" s="465" t="s">
        <v>536</v>
      </c>
      <c r="D46" s="330"/>
      <c r="E46" s="331"/>
      <c r="F46" s="333"/>
      <c r="G46" s="334"/>
    </row>
    <row r="47" spans="1:7">
      <c r="A47" s="322"/>
      <c r="B47" s="96"/>
      <c r="C47" s="465" t="s">
        <v>691</v>
      </c>
      <c r="D47" s="331"/>
      <c r="E47" s="331"/>
      <c r="F47" s="331"/>
      <c r="G47" s="332"/>
    </row>
    <row r="48" spans="1:7">
      <c r="A48" s="322"/>
      <c r="B48" s="96"/>
      <c r="C48" s="465" t="s">
        <v>534</v>
      </c>
      <c r="D48" s="330"/>
      <c r="E48" s="331"/>
      <c r="F48" s="330"/>
      <c r="G48" s="332"/>
    </row>
    <row r="49" spans="1:7">
      <c r="A49" s="322"/>
      <c r="B49" s="96"/>
      <c r="C49" s="465" t="s">
        <v>535</v>
      </c>
      <c r="D49" s="330"/>
      <c r="E49" s="331"/>
      <c r="F49" s="330"/>
      <c r="G49" s="332"/>
    </row>
    <row r="50" spans="1:7">
      <c r="A50" s="322"/>
      <c r="B50" s="96"/>
      <c r="C50" s="465" t="s">
        <v>536</v>
      </c>
      <c r="D50" s="330"/>
      <c r="E50" s="331"/>
      <c r="F50" s="330"/>
      <c r="G50" s="332"/>
    </row>
    <row r="51" spans="1:7">
      <c r="A51" s="322"/>
      <c r="B51" s="96"/>
      <c r="C51" s="465" t="s">
        <v>692</v>
      </c>
      <c r="D51" s="331"/>
      <c r="E51" s="331"/>
      <c r="F51" s="331"/>
      <c r="G51" s="332"/>
    </row>
    <row r="52" spans="1:7">
      <c r="A52" s="322"/>
      <c r="B52" s="96"/>
      <c r="C52" s="465" t="s">
        <v>534</v>
      </c>
      <c r="D52" s="330"/>
      <c r="E52" s="333"/>
      <c r="F52" s="330"/>
      <c r="G52" s="334"/>
    </row>
    <row r="53" spans="1:7">
      <c r="A53" s="322"/>
      <c r="B53" s="96"/>
      <c r="C53" s="465" t="s">
        <v>535</v>
      </c>
      <c r="D53" s="330"/>
      <c r="E53" s="333"/>
      <c r="F53" s="330"/>
      <c r="G53" s="334"/>
    </row>
    <row r="54" spans="1:7" ht="13.5" thickBot="1">
      <c r="A54" s="343"/>
      <c r="B54" s="467"/>
      <c r="C54" s="466" t="s">
        <v>536</v>
      </c>
      <c r="D54" s="405"/>
      <c r="E54" s="406"/>
      <c r="F54" s="405"/>
      <c r="G54" s="407"/>
    </row>
    <row r="56" spans="1:7">
      <c r="A56" s="43" t="s">
        <v>128</v>
      </c>
      <c r="C56" s="90" t="s">
        <v>775</v>
      </c>
    </row>
    <row r="57" spans="1:7" ht="13.5" thickBot="1">
      <c r="A57" s="43"/>
      <c r="C57" s="90"/>
    </row>
    <row r="58" spans="1:7" ht="15" customHeight="1">
      <c r="A58" s="474" t="s">
        <v>2</v>
      </c>
      <c r="B58" s="475" t="s">
        <v>88</v>
      </c>
      <c r="C58" s="1545" t="s">
        <v>26</v>
      </c>
      <c r="D58" s="1545"/>
      <c r="E58" s="1545"/>
      <c r="F58" s="1545"/>
      <c r="G58" s="1591"/>
    </row>
    <row r="59" spans="1:7" ht="31.9" customHeight="1">
      <c r="A59" s="322"/>
      <c r="B59" s="96" t="s">
        <v>541</v>
      </c>
      <c r="C59" s="1589" t="s">
        <v>542</v>
      </c>
      <c r="D59" s="1589"/>
      <c r="E59" s="1589"/>
      <c r="F59" s="1589"/>
      <c r="G59" s="1590"/>
    </row>
    <row r="60" spans="1:7" ht="25.5">
      <c r="A60" s="322"/>
      <c r="B60" s="96"/>
      <c r="C60" s="468" t="s">
        <v>26</v>
      </c>
      <c r="D60" s="107" t="s">
        <v>712</v>
      </c>
      <c r="E60" s="107" t="s">
        <v>713</v>
      </c>
      <c r="G60" s="323"/>
    </row>
    <row r="61" spans="1:7">
      <c r="A61" s="322"/>
      <c r="B61" s="96"/>
      <c r="C61" s="438"/>
      <c r="D61" s="436" t="s">
        <v>7</v>
      </c>
      <c r="E61" s="436" t="s">
        <v>7</v>
      </c>
      <c r="G61" s="323"/>
    </row>
    <row r="62" spans="1:7">
      <c r="A62" s="322"/>
      <c r="B62" s="96"/>
      <c r="C62" s="469" t="s">
        <v>714</v>
      </c>
      <c r="D62" s="335"/>
      <c r="E62" s="336"/>
      <c r="G62" s="323"/>
    </row>
    <row r="63" spans="1:7" ht="25.5">
      <c r="A63" s="322"/>
      <c r="B63" s="96"/>
      <c r="C63" s="464" t="s">
        <v>715</v>
      </c>
      <c r="D63" s="311"/>
      <c r="E63" s="337"/>
      <c r="G63" s="323"/>
    </row>
    <row r="64" spans="1:7" ht="38.25">
      <c r="A64" s="322"/>
      <c r="B64" s="96"/>
      <c r="C64" s="464" t="s">
        <v>716</v>
      </c>
      <c r="D64" s="311"/>
      <c r="E64" s="337"/>
      <c r="G64" s="323"/>
    </row>
    <row r="65" spans="1:7">
      <c r="A65" s="322"/>
      <c r="B65" s="96"/>
      <c r="C65" s="464" t="s">
        <v>717</v>
      </c>
      <c r="D65" s="311"/>
      <c r="E65" s="337"/>
      <c r="G65" s="323"/>
    </row>
    <row r="66" spans="1:7">
      <c r="A66" s="322"/>
      <c r="B66" s="96"/>
      <c r="C66" s="470"/>
      <c r="D66" s="311"/>
      <c r="E66" s="338"/>
      <c r="G66" s="323"/>
    </row>
    <row r="67" spans="1:7">
      <c r="A67" s="322"/>
      <c r="B67" s="96"/>
      <c r="C67" s="464" t="s">
        <v>543</v>
      </c>
      <c r="D67" s="311"/>
      <c r="E67" s="339"/>
      <c r="G67" s="323"/>
    </row>
    <row r="68" spans="1:7">
      <c r="A68" s="322" t="s">
        <v>709</v>
      </c>
      <c r="B68" s="96"/>
      <c r="C68" s="464" t="s">
        <v>718</v>
      </c>
      <c r="D68" s="227"/>
      <c r="E68" s="266"/>
      <c r="G68" s="323"/>
    </row>
    <row r="69" spans="1:7">
      <c r="A69" s="322"/>
      <c r="B69" s="96"/>
      <c r="C69" s="464" t="s">
        <v>544</v>
      </c>
      <c r="D69" s="311"/>
      <c r="E69" s="339"/>
      <c r="G69" s="323"/>
    </row>
    <row r="70" spans="1:7">
      <c r="A70" s="322" t="s">
        <v>709</v>
      </c>
      <c r="B70" s="96"/>
      <c r="C70" s="471" t="s">
        <v>719</v>
      </c>
      <c r="D70" s="229"/>
      <c r="E70" s="268"/>
      <c r="G70" s="323"/>
    </row>
    <row r="71" spans="1:7">
      <c r="A71" s="322"/>
      <c r="B71" s="96"/>
      <c r="G71" s="323"/>
    </row>
    <row r="72" spans="1:7" ht="29.45" customHeight="1">
      <c r="A72" s="322" t="s">
        <v>711</v>
      </c>
      <c r="B72" s="96" t="s">
        <v>545</v>
      </c>
      <c r="C72" s="1589" t="s">
        <v>546</v>
      </c>
      <c r="D72" s="1589"/>
      <c r="E72" s="1589"/>
      <c r="F72" s="1589"/>
      <c r="G72" s="1590"/>
    </row>
    <row r="73" spans="1:7">
      <c r="A73" s="322"/>
      <c r="B73" s="96"/>
      <c r="G73" s="323"/>
    </row>
    <row r="74" spans="1:7">
      <c r="A74" s="322"/>
      <c r="B74" s="96"/>
      <c r="C74" s="352" t="s">
        <v>547</v>
      </c>
      <c r="D74" s="107" t="s">
        <v>302</v>
      </c>
      <c r="E74" s="107" t="s">
        <v>303</v>
      </c>
      <c r="G74" s="323"/>
    </row>
    <row r="75" spans="1:7">
      <c r="A75" s="322"/>
      <c r="B75" s="96"/>
      <c r="C75" s="266" t="s">
        <v>548</v>
      </c>
      <c r="D75" s="340"/>
      <c r="E75" s="340"/>
      <c r="G75" s="323"/>
    </row>
    <row r="76" spans="1:7">
      <c r="A76" s="322"/>
      <c r="B76" s="96"/>
      <c r="C76" s="266" t="s">
        <v>549</v>
      </c>
      <c r="D76" s="311"/>
      <c r="E76" s="311"/>
      <c r="G76" s="323"/>
    </row>
    <row r="77" spans="1:7">
      <c r="A77" s="322"/>
      <c r="B77" s="96"/>
      <c r="C77" s="266" t="s">
        <v>550</v>
      </c>
      <c r="D77" s="341"/>
      <c r="E77" s="341"/>
      <c r="G77" s="323"/>
    </row>
    <row r="78" spans="1:7">
      <c r="A78" s="322"/>
      <c r="B78" s="96"/>
      <c r="C78" s="268" t="s">
        <v>551</v>
      </c>
      <c r="D78" s="342"/>
      <c r="E78" s="342"/>
      <c r="G78" s="323"/>
    </row>
    <row r="79" spans="1:7">
      <c r="A79" s="322"/>
      <c r="B79" s="96"/>
      <c r="G79" s="323"/>
    </row>
    <row r="80" spans="1:7" ht="13.5" thickBot="1">
      <c r="A80" s="343"/>
      <c r="B80" s="467"/>
      <c r="C80" s="344"/>
      <c r="D80" s="344"/>
      <c r="E80" s="344"/>
      <c r="F80" s="344"/>
      <c r="G80" s="345"/>
    </row>
  </sheetData>
  <mergeCells count="18">
    <mergeCell ref="D25:E25"/>
    <mergeCell ref="F25:G25"/>
    <mergeCell ref="C59:G59"/>
    <mergeCell ref="C72:G72"/>
    <mergeCell ref="C21:G21"/>
    <mergeCell ref="C20:G20"/>
    <mergeCell ref="C7:G7"/>
    <mergeCell ref="C58:G58"/>
    <mergeCell ref="C15:G15"/>
    <mergeCell ref="C16:G16"/>
    <mergeCell ref="C17:G17"/>
    <mergeCell ref="C18:G18"/>
    <mergeCell ref="C19:G19"/>
    <mergeCell ref="C10:G10"/>
    <mergeCell ref="C11:G11"/>
    <mergeCell ref="C12:G12"/>
    <mergeCell ref="C13:G13"/>
    <mergeCell ref="C14:G14"/>
  </mergeCells>
  <pageMargins left="0.5" right="0.5" top="0.5" bottom="0.5" header="0.5" footer="0.5"/>
  <pageSetup scale="60" fitToHeight="0" orientation="portrait" r:id="rId1"/>
  <headerFooter alignWithMargins="0"/>
  <rowBreaks count="1" manualBreakCount="1">
    <brk id="54"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59">
    <pageSetUpPr fitToPage="1"/>
  </sheetPr>
  <dimension ref="A1:K8"/>
  <sheetViews>
    <sheetView view="pageBreakPreview" zoomScaleNormal="90" zoomScaleSheetLayoutView="100" workbookViewId="0">
      <selection activeCell="A5" sqref="A5:K7"/>
    </sheetView>
  </sheetViews>
  <sheetFormatPr defaultColWidth="9.140625" defaultRowHeight="12.75"/>
  <cols>
    <col min="1" max="16384" width="9.140625" style="321"/>
  </cols>
  <sheetData>
    <row r="1" spans="1:11">
      <c r="A1" s="33"/>
      <c r="B1" s="33"/>
      <c r="C1" s="90"/>
      <c r="D1" s="33"/>
      <c r="E1" s="33"/>
      <c r="F1" s="33"/>
      <c r="G1" s="33"/>
    </row>
    <row r="2" spans="1:11">
      <c r="A2" s="33"/>
      <c r="B2" s="90" t="s">
        <v>3</v>
      </c>
      <c r="C2" s="90"/>
      <c r="D2" s="33"/>
      <c r="E2" s="33"/>
      <c r="F2" s="33"/>
      <c r="G2" s="33"/>
    </row>
    <row r="3" spans="1:11">
      <c r="A3" s="33"/>
      <c r="B3" s="90" t="s">
        <v>60</v>
      </c>
      <c r="C3" s="90"/>
      <c r="D3" s="33"/>
      <c r="E3" s="33"/>
      <c r="F3" s="33"/>
      <c r="G3" s="33"/>
    </row>
    <row r="4" spans="1:11">
      <c r="A4" s="33"/>
      <c r="B4" s="33"/>
      <c r="C4" s="33"/>
      <c r="D4" s="33"/>
      <c r="E4" s="33"/>
      <c r="F4" s="33"/>
      <c r="G4" s="33"/>
    </row>
    <row r="5" spans="1:11" ht="13.5" thickBot="1">
      <c r="A5" s="41"/>
      <c r="B5" s="91" t="s">
        <v>552</v>
      </c>
      <c r="C5" s="91"/>
      <c r="D5" s="33"/>
      <c r="E5" s="33"/>
      <c r="F5" s="33"/>
      <c r="G5" s="33"/>
    </row>
    <row r="6" spans="1:11">
      <c r="A6" s="483" t="s">
        <v>61</v>
      </c>
      <c r="B6" s="490" t="s">
        <v>88</v>
      </c>
      <c r="C6" s="1601" t="s">
        <v>26</v>
      </c>
      <c r="D6" s="1602"/>
      <c r="E6" s="1602"/>
      <c r="F6" s="1602"/>
      <c r="G6" s="1602"/>
      <c r="H6" s="1602"/>
      <c r="I6" s="1602"/>
      <c r="J6" s="1602"/>
      <c r="K6" s="1603"/>
    </row>
    <row r="7" spans="1:11" ht="56.45" customHeight="1" thickBot="1">
      <c r="A7" s="485"/>
      <c r="B7" s="489">
        <v>32</v>
      </c>
      <c r="C7" s="1577" t="s">
        <v>615</v>
      </c>
      <c r="D7" s="1578"/>
      <c r="E7" s="1578"/>
      <c r="F7" s="1578"/>
      <c r="G7" s="1578"/>
      <c r="H7" s="1578"/>
      <c r="I7" s="1578"/>
      <c r="J7" s="1578"/>
      <c r="K7" s="1579"/>
    </row>
    <row r="8" spans="1:11" ht="66" customHeight="1" thickBot="1">
      <c r="A8" s="486" t="s">
        <v>634</v>
      </c>
      <c r="B8" s="484"/>
      <c r="C8" s="1598" t="s">
        <v>693</v>
      </c>
      <c r="D8" s="1599"/>
      <c r="E8" s="1599"/>
      <c r="F8" s="1599"/>
      <c r="G8" s="1599"/>
      <c r="H8" s="1599"/>
      <c r="I8" s="1599"/>
      <c r="J8" s="1599"/>
      <c r="K8" s="1600"/>
    </row>
  </sheetData>
  <mergeCells count="3">
    <mergeCell ref="C7:K7"/>
    <mergeCell ref="C8:K8"/>
    <mergeCell ref="C6:K6"/>
  </mergeCells>
  <pageMargins left="0.5" right="0.5" top="0.5" bottom="0.5" header="0.5" footer="0.5"/>
  <pageSetup scale="94"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B1:P17"/>
  <sheetViews>
    <sheetView workbookViewId="0">
      <pane xSplit="2" ySplit="4" topLeftCell="C5" activePane="bottomRight" state="frozen"/>
      <selection pane="topRight" activeCell="B1" sqref="B1"/>
      <selection pane="bottomLeft" activeCell="A6" sqref="A6"/>
      <selection pane="bottomRight" activeCell="E21" sqref="E21"/>
    </sheetView>
  </sheetViews>
  <sheetFormatPr defaultRowHeight="15"/>
  <cols>
    <col min="1" max="1" width="5.85546875" style="544" customWidth="1"/>
    <col min="2" max="2" width="8" style="544" customWidth="1"/>
    <col min="3" max="3" width="18.5703125" style="544" customWidth="1"/>
    <col min="4" max="4" width="15.42578125" style="549" bestFit="1" customWidth="1"/>
    <col min="5" max="5" width="12.5703125" style="549" bestFit="1" customWidth="1"/>
    <col min="6" max="6" width="15.5703125" style="549" customWidth="1"/>
    <col min="7" max="7" width="12.140625" style="549" customWidth="1"/>
    <col min="8" max="8" width="14.85546875" style="549" customWidth="1"/>
    <col min="9" max="9" width="6.42578125" style="549" customWidth="1"/>
    <col min="10" max="10" width="16" style="549" bestFit="1" customWidth="1"/>
    <col min="11" max="11" width="15" style="549" customWidth="1"/>
    <col min="12" max="12" width="9.140625" style="544"/>
    <col min="13" max="13" width="10.28515625" style="544" customWidth="1"/>
    <col min="14" max="14" width="9.140625" style="544"/>
    <col min="15" max="15" width="9.28515625" style="544" customWidth="1"/>
    <col min="16" max="16" width="10" style="544" customWidth="1"/>
    <col min="17" max="258" width="9.140625" style="544"/>
    <col min="259" max="259" width="4.140625" style="544" customWidth="1"/>
    <col min="260" max="260" width="24.5703125" style="544" customWidth="1"/>
    <col min="261" max="261" width="17.7109375" style="544" bestFit="1" customWidth="1"/>
    <col min="262" max="262" width="12.5703125" style="544" bestFit="1" customWidth="1"/>
    <col min="263" max="263" width="14.5703125" style="544" bestFit="1" customWidth="1"/>
    <col min="264" max="264" width="17.5703125" style="544" customWidth="1"/>
    <col min="265" max="265" width="6.42578125" style="544" customWidth="1"/>
    <col min="266" max="266" width="15.5703125" style="544" bestFit="1" customWidth="1"/>
    <col min="267" max="267" width="17.7109375" style="544" bestFit="1" customWidth="1"/>
    <col min="268" max="268" width="9.140625" style="544"/>
    <col min="269" max="269" width="10.28515625" style="544" customWidth="1"/>
    <col min="270" max="270" width="9.140625" style="544"/>
    <col min="271" max="271" width="9.28515625" style="544" customWidth="1"/>
    <col min="272" max="272" width="10" style="544" customWidth="1"/>
    <col min="273" max="514" width="9.140625" style="544"/>
    <col min="515" max="515" width="4.140625" style="544" customWidth="1"/>
    <col min="516" max="516" width="24.5703125" style="544" customWidth="1"/>
    <col min="517" max="517" width="17.7109375" style="544" bestFit="1" customWidth="1"/>
    <col min="518" max="518" width="12.5703125" style="544" bestFit="1" customWidth="1"/>
    <col min="519" max="519" width="14.5703125" style="544" bestFit="1" customWidth="1"/>
    <col min="520" max="520" width="17.5703125" style="544" customWidth="1"/>
    <col min="521" max="521" width="6.42578125" style="544" customWidth="1"/>
    <col min="522" max="522" width="15.5703125" style="544" bestFit="1" customWidth="1"/>
    <col min="523" max="523" width="17.7109375" style="544" bestFit="1" customWidth="1"/>
    <col min="524" max="524" width="9.140625" style="544"/>
    <col min="525" max="525" width="10.28515625" style="544" customWidth="1"/>
    <col min="526" max="526" width="9.140625" style="544"/>
    <col min="527" max="527" width="9.28515625" style="544" customWidth="1"/>
    <col min="528" max="528" width="10" style="544" customWidth="1"/>
    <col min="529" max="770" width="9.140625" style="544"/>
    <col min="771" max="771" width="4.140625" style="544" customWidth="1"/>
    <col min="772" max="772" width="24.5703125" style="544" customWidth="1"/>
    <col min="773" max="773" width="17.7109375" style="544" bestFit="1" customWidth="1"/>
    <col min="774" max="774" width="12.5703125" style="544" bestFit="1" customWidth="1"/>
    <col min="775" max="775" width="14.5703125" style="544" bestFit="1" customWidth="1"/>
    <col min="776" max="776" width="17.5703125" style="544" customWidth="1"/>
    <col min="777" max="777" width="6.42578125" style="544" customWidth="1"/>
    <col min="778" max="778" width="15.5703125" style="544" bestFit="1" customWidth="1"/>
    <col min="779" max="779" width="17.7109375" style="544" bestFit="1" customWidth="1"/>
    <col min="780" max="780" width="9.140625" style="544"/>
    <col min="781" max="781" width="10.28515625" style="544" customWidth="1"/>
    <col min="782" max="782" width="9.140625" style="544"/>
    <col min="783" max="783" width="9.28515625" style="544" customWidth="1"/>
    <col min="784" max="784" width="10" style="544" customWidth="1"/>
    <col min="785" max="1026" width="9.140625" style="544"/>
    <col min="1027" max="1027" width="4.140625" style="544" customWidth="1"/>
    <col min="1028" max="1028" width="24.5703125" style="544" customWidth="1"/>
    <col min="1029" max="1029" width="17.7109375" style="544" bestFit="1" customWidth="1"/>
    <col min="1030" max="1030" width="12.5703125" style="544" bestFit="1" customWidth="1"/>
    <col min="1031" max="1031" width="14.5703125" style="544" bestFit="1" customWidth="1"/>
    <col min="1032" max="1032" width="17.5703125" style="544" customWidth="1"/>
    <col min="1033" max="1033" width="6.42578125" style="544" customWidth="1"/>
    <col min="1034" max="1034" width="15.5703125" style="544" bestFit="1" customWidth="1"/>
    <col min="1035" max="1035" width="17.7109375" style="544" bestFit="1" customWidth="1"/>
    <col min="1036" max="1036" width="9.140625" style="544"/>
    <col min="1037" max="1037" width="10.28515625" style="544" customWidth="1"/>
    <col min="1038" max="1038" width="9.140625" style="544"/>
    <col min="1039" max="1039" width="9.28515625" style="544" customWidth="1"/>
    <col min="1040" max="1040" width="10" style="544" customWidth="1"/>
    <col min="1041" max="1282" width="9.140625" style="544"/>
    <col min="1283" max="1283" width="4.140625" style="544" customWidth="1"/>
    <col min="1284" max="1284" width="24.5703125" style="544" customWidth="1"/>
    <col min="1285" max="1285" width="17.7109375" style="544" bestFit="1" customWidth="1"/>
    <col min="1286" max="1286" width="12.5703125" style="544" bestFit="1" customWidth="1"/>
    <col min="1287" max="1287" width="14.5703125" style="544" bestFit="1" customWidth="1"/>
    <col min="1288" max="1288" width="17.5703125" style="544" customWidth="1"/>
    <col min="1289" max="1289" width="6.42578125" style="544" customWidth="1"/>
    <col min="1290" max="1290" width="15.5703125" style="544" bestFit="1" customWidth="1"/>
    <col min="1291" max="1291" width="17.7109375" style="544" bestFit="1" customWidth="1"/>
    <col min="1292" max="1292" width="9.140625" style="544"/>
    <col min="1293" max="1293" width="10.28515625" style="544" customWidth="1"/>
    <col min="1294" max="1294" width="9.140625" style="544"/>
    <col min="1295" max="1295" width="9.28515625" style="544" customWidth="1"/>
    <col min="1296" max="1296" width="10" style="544" customWidth="1"/>
    <col min="1297" max="1538" width="9.140625" style="544"/>
    <col min="1539" max="1539" width="4.140625" style="544" customWidth="1"/>
    <col min="1540" max="1540" width="24.5703125" style="544" customWidth="1"/>
    <col min="1541" max="1541" width="17.7109375" style="544" bestFit="1" customWidth="1"/>
    <col min="1542" max="1542" width="12.5703125" style="544" bestFit="1" customWidth="1"/>
    <col min="1543" max="1543" width="14.5703125" style="544" bestFit="1" customWidth="1"/>
    <col min="1544" max="1544" width="17.5703125" style="544" customWidth="1"/>
    <col min="1545" max="1545" width="6.42578125" style="544" customWidth="1"/>
    <col min="1546" max="1546" width="15.5703125" style="544" bestFit="1" customWidth="1"/>
    <col min="1547" max="1547" width="17.7109375" style="544" bestFit="1" customWidth="1"/>
    <col min="1548" max="1548" width="9.140625" style="544"/>
    <col min="1549" max="1549" width="10.28515625" style="544" customWidth="1"/>
    <col min="1550" max="1550" width="9.140625" style="544"/>
    <col min="1551" max="1551" width="9.28515625" style="544" customWidth="1"/>
    <col min="1552" max="1552" width="10" style="544" customWidth="1"/>
    <col min="1553" max="1794" width="9.140625" style="544"/>
    <col min="1795" max="1795" width="4.140625" style="544" customWidth="1"/>
    <col min="1796" max="1796" width="24.5703125" style="544" customWidth="1"/>
    <col min="1797" max="1797" width="17.7109375" style="544" bestFit="1" customWidth="1"/>
    <col min="1798" max="1798" width="12.5703125" style="544" bestFit="1" customWidth="1"/>
    <col min="1799" max="1799" width="14.5703125" style="544" bestFit="1" customWidth="1"/>
    <col min="1800" max="1800" width="17.5703125" style="544" customWidth="1"/>
    <col min="1801" max="1801" width="6.42578125" style="544" customWidth="1"/>
    <col min="1802" max="1802" width="15.5703125" style="544" bestFit="1" customWidth="1"/>
    <col min="1803" max="1803" width="17.7109375" style="544" bestFit="1" customWidth="1"/>
    <col min="1804" max="1804" width="9.140625" style="544"/>
    <col min="1805" max="1805" width="10.28515625" style="544" customWidth="1"/>
    <col min="1806" max="1806" width="9.140625" style="544"/>
    <col min="1807" max="1807" width="9.28515625" style="544" customWidth="1"/>
    <col min="1808" max="1808" width="10" style="544" customWidth="1"/>
    <col min="1809" max="2050" width="9.140625" style="544"/>
    <col min="2051" max="2051" width="4.140625" style="544" customWidth="1"/>
    <col min="2052" max="2052" width="24.5703125" style="544" customWidth="1"/>
    <col min="2053" max="2053" width="17.7109375" style="544" bestFit="1" customWidth="1"/>
    <col min="2054" max="2054" width="12.5703125" style="544" bestFit="1" customWidth="1"/>
    <col min="2055" max="2055" width="14.5703125" style="544" bestFit="1" customWidth="1"/>
    <col min="2056" max="2056" width="17.5703125" style="544" customWidth="1"/>
    <col min="2057" max="2057" width="6.42578125" style="544" customWidth="1"/>
    <col min="2058" max="2058" width="15.5703125" style="544" bestFit="1" customWidth="1"/>
    <col min="2059" max="2059" width="17.7109375" style="544" bestFit="1" customWidth="1"/>
    <col min="2060" max="2060" width="9.140625" style="544"/>
    <col min="2061" max="2061" width="10.28515625" style="544" customWidth="1"/>
    <col min="2062" max="2062" width="9.140625" style="544"/>
    <col min="2063" max="2063" width="9.28515625" style="544" customWidth="1"/>
    <col min="2064" max="2064" width="10" style="544" customWidth="1"/>
    <col min="2065" max="2306" width="9.140625" style="544"/>
    <col min="2307" max="2307" width="4.140625" style="544" customWidth="1"/>
    <col min="2308" max="2308" width="24.5703125" style="544" customWidth="1"/>
    <col min="2309" max="2309" width="17.7109375" style="544" bestFit="1" customWidth="1"/>
    <col min="2310" max="2310" width="12.5703125" style="544" bestFit="1" customWidth="1"/>
    <col min="2311" max="2311" width="14.5703125" style="544" bestFit="1" customWidth="1"/>
    <col min="2312" max="2312" width="17.5703125" style="544" customWidth="1"/>
    <col min="2313" max="2313" width="6.42578125" style="544" customWidth="1"/>
    <col min="2314" max="2314" width="15.5703125" style="544" bestFit="1" customWidth="1"/>
    <col min="2315" max="2315" width="17.7109375" style="544" bestFit="1" customWidth="1"/>
    <col min="2316" max="2316" width="9.140625" style="544"/>
    <col min="2317" max="2317" width="10.28515625" style="544" customWidth="1"/>
    <col min="2318" max="2318" width="9.140625" style="544"/>
    <col min="2319" max="2319" width="9.28515625" style="544" customWidth="1"/>
    <col min="2320" max="2320" width="10" style="544" customWidth="1"/>
    <col min="2321" max="2562" width="9.140625" style="544"/>
    <col min="2563" max="2563" width="4.140625" style="544" customWidth="1"/>
    <col min="2564" max="2564" width="24.5703125" style="544" customWidth="1"/>
    <col min="2565" max="2565" width="17.7109375" style="544" bestFit="1" customWidth="1"/>
    <col min="2566" max="2566" width="12.5703125" style="544" bestFit="1" customWidth="1"/>
    <col min="2567" max="2567" width="14.5703125" style="544" bestFit="1" customWidth="1"/>
    <col min="2568" max="2568" width="17.5703125" style="544" customWidth="1"/>
    <col min="2569" max="2569" width="6.42578125" style="544" customWidth="1"/>
    <col min="2570" max="2570" width="15.5703125" style="544" bestFit="1" customWidth="1"/>
    <col min="2571" max="2571" width="17.7109375" style="544" bestFit="1" customWidth="1"/>
    <col min="2572" max="2572" width="9.140625" style="544"/>
    <col min="2573" max="2573" width="10.28515625" style="544" customWidth="1"/>
    <col min="2574" max="2574" width="9.140625" style="544"/>
    <col min="2575" max="2575" width="9.28515625" style="544" customWidth="1"/>
    <col min="2576" max="2576" width="10" style="544" customWidth="1"/>
    <col min="2577" max="2818" width="9.140625" style="544"/>
    <col min="2819" max="2819" width="4.140625" style="544" customWidth="1"/>
    <col min="2820" max="2820" width="24.5703125" style="544" customWidth="1"/>
    <col min="2821" max="2821" width="17.7109375" style="544" bestFit="1" customWidth="1"/>
    <col min="2822" max="2822" width="12.5703125" style="544" bestFit="1" customWidth="1"/>
    <col min="2823" max="2823" width="14.5703125" style="544" bestFit="1" customWidth="1"/>
    <col min="2824" max="2824" width="17.5703125" style="544" customWidth="1"/>
    <col min="2825" max="2825" width="6.42578125" style="544" customWidth="1"/>
    <col min="2826" max="2826" width="15.5703125" style="544" bestFit="1" customWidth="1"/>
    <col min="2827" max="2827" width="17.7109375" style="544" bestFit="1" customWidth="1"/>
    <col min="2828" max="2828" width="9.140625" style="544"/>
    <col min="2829" max="2829" width="10.28515625" style="544" customWidth="1"/>
    <col min="2830" max="2830" width="9.140625" style="544"/>
    <col min="2831" max="2831" width="9.28515625" style="544" customWidth="1"/>
    <col min="2832" max="2832" width="10" style="544" customWidth="1"/>
    <col min="2833" max="3074" width="9.140625" style="544"/>
    <col min="3075" max="3075" width="4.140625" style="544" customWidth="1"/>
    <col min="3076" max="3076" width="24.5703125" style="544" customWidth="1"/>
    <col min="3077" max="3077" width="17.7109375" style="544" bestFit="1" customWidth="1"/>
    <col min="3078" max="3078" width="12.5703125" style="544" bestFit="1" customWidth="1"/>
    <col min="3079" max="3079" width="14.5703125" style="544" bestFit="1" customWidth="1"/>
    <col min="3080" max="3080" width="17.5703125" style="544" customWidth="1"/>
    <col min="3081" max="3081" width="6.42578125" style="544" customWidth="1"/>
    <col min="3082" max="3082" width="15.5703125" style="544" bestFit="1" customWidth="1"/>
    <col min="3083" max="3083" width="17.7109375" style="544" bestFit="1" customWidth="1"/>
    <col min="3084" max="3084" width="9.140625" style="544"/>
    <col min="3085" max="3085" width="10.28515625" style="544" customWidth="1"/>
    <col min="3086" max="3086" width="9.140625" style="544"/>
    <col min="3087" max="3087" width="9.28515625" style="544" customWidth="1"/>
    <col min="3088" max="3088" width="10" style="544" customWidth="1"/>
    <col min="3089" max="3330" width="9.140625" style="544"/>
    <col min="3331" max="3331" width="4.140625" style="544" customWidth="1"/>
    <col min="3332" max="3332" width="24.5703125" style="544" customWidth="1"/>
    <col min="3333" max="3333" width="17.7109375" style="544" bestFit="1" customWidth="1"/>
    <col min="3334" max="3334" width="12.5703125" style="544" bestFit="1" customWidth="1"/>
    <col min="3335" max="3335" width="14.5703125" style="544" bestFit="1" customWidth="1"/>
    <col min="3336" max="3336" width="17.5703125" style="544" customWidth="1"/>
    <col min="3337" max="3337" width="6.42578125" style="544" customWidth="1"/>
    <col min="3338" max="3338" width="15.5703125" style="544" bestFit="1" customWidth="1"/>
    <col min="3339" max="3339" width="17.7109375" style="544" bestFit="1" customWidth="1"/>
    <col min="3340" max="3340" width="9.140625" style="544"/>
    <col min="3341" max="3341" width="10.28515625" style="544" customWidth="1"/>
    <col min="3342" max="3342" width="9.140625" style="544"/>
    <col min="3343" max="3343" width="9.28515625" style="544" customWidth="1"/>
    <col min="3344" max="3344" width="10" style="544" customWidth="1"/>
    <col min="3345" max="3586" width="9.140625" style="544"/>
    <col min="3587" max="3587" width="4.140625" style="544" customWidth="1"/>
    <col min="3588" max="3588" width="24.5703125" style="544" customWidth="1"/>
    <col min="3589" max="3589" width="17.7109375" style="544" bestFit="1" customWidth="1"/>
    <col min="3590" max="3590" width="12.5703125" style="544" bestFit="1" customWidth="1"/>
    <col min="3591" max="3591" width="14.5703125" style="544" bestFit="1" customWidth="1"/>
    <col min="3592" max="3592" width="17.5703125" style="544" customWidth="1"/>
    <col min="3593" max="3593" width="6.42578125" style="544" customWidth="1"/>
    <col min="3594" max="3594" width="15.5703125" style="544" bestFit="1" customWidth="1"/>
    <col min="3595" max="3595" width="17.7109375" style="544" bestFit="1" customWidth="1"/>
    <col min="3596" max="3596" width="9.140625" style="544"/>
    <col min="3597" max="3597" width="10.28515625" style="544" customWidth="1"/>
    <col min="3598" max="3598" width="9.140625" style="544"/>
    <col min="3599" max="3599" width="9.28515625" style="544" customWidth="1"/>
    <col min="3600" max="3600" width="10" style="544" customWidth="1"/>
    <col min="3601" max="3842" width="9.140625" style="544"/>
    <col min="3843" max="3843" width="4.140625" style="544" customWidth="1"/>
    <col min="3844" max="3844" width="24.5703125" style="544" customWidth="1"/>
    <col min="3845" max="3845" width="17.7109375" style="544" bestFit="1" customWidth="1"/>
    <col min="3846" max="3846" width="12.5703125" style="544" bestFit="1" customWidth="1"/>
    <col min="3847" max="3847" width="14.5703125" style="544" bestFit="1" customWidth="1"/>
    <col min="3848" max="3848" width="17.5703125" style="544" customWidth="1"/>
    <col min="3849" max="3849" width="6.42578125" style="544" customWidth="1"/>
    <col min="3850" max="3850" width="15.5703125" style="544" bestFit="1" customWidth="1"/>
    <col min="3851" max="3851" width="17.7109375" style="544" bestFit="1" customWidth="1"/>
    <col min="3852" max="3852" width="9.140625" style="544"/>
    <col min="3853" max="3853" width="10.28515625" style="544" customWidth="1"/>
    <col min="3854" max="3854" width="9.140625" style="544"/>
    <col min="3855" max="3855" width="9.28515625" style="544" customWidth="1"/>
    <col min="3856" max="3856" width="10" style="544" customWidth="1"/>
    <col min="3857" max="4098" width="9.140625" style="544"/>
    <col min="4099" max="4099" width="4.140625" style="544" customWidth="1"/>
    <col min="4100" max="4100" width="24.5703125" style="544" customWidth="1"/>
    <col min="4101" max="4101" width="17.7109375" style="544" bestFit="1" customWidth="1"/>
    <col min="4102" max="4102" width="12.5703125" style="544" bestFit="1" customWidth="1"/>
    <col min="4103" max="4103" width="14.5703125" style="544" bestFit="1" customWidth="1"/>
    <col min="4104" max="4104" width="17.5703125" style="544" customWidth="1"/>
    <col min="4105" max="4105" width="6.42578125" style="544" customWidth="1"/>
    <col min="4106" max="4106" width="15.5703125" style="544" bestFit="1" customWidth="1"/>
    <col min="4107" max="4107" width="17.7109375" style="544" bestFit="1" customWidth="1"/>
    <col min="4108" max="4108" width="9.140625" style="544"/>
    <col min="4109" max="4109" width="10.28515625" style="544" customWidth="1"/>
    <col min="4110" max="4110" width="9.140625" style="544"/>
    <col min="4111" max="4111" width="9.28515625" style="544" customWidth="1"/>
    <col min="4112" max="4112" width="10" style="544" customWidth="1"/>
    <col min="4113" max="4354" width="9.140625" style="544"/>
    <col min="4355" max="4355" width="4.140625" style="544" customWidth="1"/>
    <col min="4356" max="4356" width="24.5703125" style="544" customWidth="1"/>
    <col min="4357" max="4357" width="17.7109375" style="544" bestFit="1" customWidth="1"/>
    <col min="4358" max="4358" width="12.5703125" style="544" bestFit="1" customWidth="1"/>
    <col min="4359" max="4359" width="14.5703125" style="544" bestFit="1" customWidth="1"/>
    <col min="4360" max="4360" width="17.5703125" style="544" customWidth="1"/>
    <col min="4361" max="4361" width="6.42578125" style="544" customWidth="1"/>
    <col min="4362" max="4362" width="15.5703125" style="544" bestFit="1" customWidth="1"/>
    <col min="4363" max="4363" width="17.7109375" style="544" bestFit="1" customWidth="1"/>
    <col min="4364" max="4364" width="9.140625" style="544"/>
    <col min="4365" max="4365" width="10.28515625" style="544" customWidth="1"/>
    <col min="4366" max="4366" width="9.140625" style="544"/>
    <col min="4367" max="4367" width="9.28515625" style="544" customWidth="1"/>
    <col min="4368" max="4368" width="10" style="544" customWidth="1"/>
    <col min="4369" max="4610" width="9.140625" style="544"/>
    <col min="4611" max="4611" width="4.140625" style="544" customWidth="1"/>
    <col min="4612" max="4612" width="24.5703125" style="544" customWidth="1"/>
    <col min="4613" max="4613" width="17.7109375" style="544" bestFit="1" customWidth="1"/>
    <col min="4614" max="4614" width="12.5703125" style="544" bestFit="1" customWidth="1"/>
    <col min="4615" max="4615" width="14.5703125" style="544" bestFit="1" customWidth="1"/>
    <col min="4616" max="4616" width="17.5703125" style="544" customWidth="1"/>
    <col min="4617" max="4617" width="6.42578125" style="544" customWidth="1"/>
    <col min="4618" max="4618" width="15.5703125" style="544" bestFit="1" customWidth="1"/>
    <col min="4619" max="4619" width="17.7109375" style="544" bestFit="1" customWidth="1"/>
    <col min="4620" max="4620" width="9.140625" style="544"/>
    <col min="4621" max="4621" width="10.28515625" style="544" customWidth="1"/>
    <col min="4622" max="4622" width="9.140625" style="544"/>
    <col min="4623" max="4623" width="9.28515625" style="544" customWidth="1"/>
    <col min="4624" max="4624" width="10" style="544" customWidth="1"/>
    <col min="4625" max="4866" width="9.140625" style="544"/>
    <col min="4867" max="4867" width="4.140625" style="544" customWidth="1"/>
    <col min="4868" max="4868" width="24.5703125" style="544" customWidth="1"/>
    <col min="4869" max="4869" width="17.7109375" style="544" bestFit="1" customWidth="1"/>
    <col min="4870" max="4870" width="12.5703125" style="544" bestFit="1" customWidth="1"/>
    <col min="4871" max="4871" width="14.5703125" style="544" bestFit="1" customWidth="1"/>
    <col min="4872" max="4872" width="17.5703125" style="544" customWidth="1"/>
    <col min="4873" max="4873" width="6.42578125" style="544" customWidth="1"/>
    <col min="4874" max="4874" width="15.5703125" style="544" bestFit="1" customWidth="1"/>
    <col min="4875" max="4875" width="17.7109375" style="544" bestFit="1" customWidth="1"/>
    <col min="4876" max="4876" width="9.140625" style="544"/>
    <col min="4877" max="4877" width="10.28515625" style="544" customWidth="1"/>
    <col min="4878" max="4878" width="9.140625" style="544"/>
    <col min="4879" max="4879" width="9.28515625" style="544" customWidth="1"/>
    <col min="4880" max="4880" width="10" style="544" customWidth="1"/>
    <col min="4881" max="5122" width="9.140625" style="544"/>
    <col min="5123" max="5123" width="4.140625" style="544" customWidth="1"/>
    <col min="5124" max="5124" width="24.5703125" style="544" customWidth="1"/>
    <col min="5125" max="5125" width="17.7109375" style="544" bestFit="1" customWidth="1"/>
    <col min="5126" max="5126" width="12.5703125" style="544" bestFit="1" customWidth="1"/>
    <col min="5127" max="5127" width="14.5703125" style="544" bestFit="1" customWidth="1"/>
    <col min="5128" max="5128" width="17.5703125" style="544" customWidth="1"/>
    <col min="5129" max="5129" width="6.42578125" style="544" customWidth="1"/>
    <col min="5130" max="5130" width="15.5703125" style="544" bestFit="1" customWidth="1"/>
    <col min="5131" max="5131" width="17.7109375" style="544" bestFit="1" customWidth="1"/>
    <col min="5132" max="5132" width="9.140625" style="544"/>
    <col min="5133" max="5133" width="10.28515625" style="544" customWidth="1"/>
    <col min="5134" max="5134" width="9.140625" style="544"/>
    <col min="5135" max="5135" width="9.28515625" style="544" customWidth="1"/>
    <col min="5136" max="5136" width="10" style="544" customWidth="1"/>
    <col min="5137" max="5378" width="9.140625" style="544"/>
    <col min="5379" max="5379" width="4.140625" style="544" customWidth="1"/>
    <col min="5380" max="5380" width="24.5703125" style="544" customWidth="1"/>
    <col min="5381" max="5381" width="17.7109375" style="544" bestFit="1" customWidth="1"/>
    <col min="5382" max="5382" width="12.5703125" style="544" bestFit="1" customWidth="1"/>
    <col min="5383" max="5383" width="14.5703125" style="544" bestFit="1" customWidth="1"/>
    <col min="5384" max="5384" width="17.5703125" style="544" customWidth="1"/>
    <col min="5385" max="5385" width="6.42578125" style="544" customWidth="1"/>
    <col min="5386" max="5386" width="15.5703125" style="544" bestFit="1" customWidth="1"/>
    <col min="5387" max="5387" width="17.7109375" style="544" bestFit="1" customWidth="1"/>
    <col min="5388" max="5388" width="9.140625" style="544"/>
    <col min="5389" max="5389" width="10.28515625" style="544" customWidth="1"/>
    <col min="5390" max="5390" width="9.140625" style="544"/>
    <col min="5391" max="5391" width="9.28515625" style="544" customWidth="1"/>
    <col min="5392" max="5392" width="10" style="544" customWidth="1"/>
    <col min="5393" max="5634" width="9.140625" style="544"/>
    <col min="5635" max="5635" width="4.140625" style="544" customWidth="1"/>
    <col min="5636" max="5636" width="24.5703125" style="544" customWidth="1"/>
    <col min="5637" max="5637" width="17.7109375" style="544" bestFit="1" customWidth="1"/>
    <col min="5638" max="5638" width="12.5703125" style="544" bestFit="1" customWidth="1"/>
    <col min="5639" max="5639" width="14.5703125" style="544" bestFit="1" customWidth="1"/>
    <col min="5640" max="5640" width="17.5703125" style="544" customWidth="1"/>
    <col min="5641" max="5641" width="6.42578125" style="544" customWidth="1"/>
    <col min="5642" max="5642" width="15.5703125" style="544" bestFit="1" customWidth="1"/>
    <col min="5643" max="5643" width="17.7109375" style="544" bestFit="1" customWidth="1"/>
    <col min="5644" max="5644" width="9.140625" style="544"/>
    <col min="5645" max="5645" width="10.28515625" style="544" customWidth="1"/>
    <col min="5646" max="5646" width="9.140625" style="544"/>
    <col min="5647" max="5647" width="9.28515625" style="544" customWidth="1"/>
    <col min="5648" max="5648" width="10" style="544" customWidth="1"/>
    <col min="5649" max="5890" width="9.140625" style="544"/>
    <col min="5891" max="5891" width="4.140625" style="544" customWidth="1"/>
    <col min="5892" max="5892" width="24.5703125" style="544" customWidth="1"/>
    <col min="5893" max="5893" width="17.7109375" style="544" bestFit="1" customWidth="1"/>
    <col min="5894" max="5894" width="12.5703125" style="544" bestFit="1" customWidth="1"/>
    <col min="5895" max="5895" width="14.5703125" style="544" bestFit="1" customWidth="1"/>
    <col min="5896" max="5896" width="17.5703125" style="544" customWidth="1"/>
    <col min="5897" max="5897" width="6.42578125" style="544" customWidth="1"/>
    <col min="5898" max="5898" width="15.5703125" style="544" bestFit="1" customWidth="1"/>
    <col min="5899" max="5899" width="17.7109375" style="544" bestFit="1" customWidth="1"/>
    <col min="5900" max="5900" width="9.140625" style="544"/>
    <col min="5901" max="5901" width="10.28515625" style="544" customWidth="1"/>
    <col min="5902" max="5902" width="9.140625" style="544"/>
    <col min="5903" max="5903" width="9.28515625" style="544" customWidth="1"/>
    <col min="5904" max="5904" width="10" style="544" customWidth="1"/>
    <col min="5905" max="6146" width="9.140625" style="544"/>
    <col min="6147" max="6147" width="4.140625" style="544" customWidth="1"/>
    <col min="6148" max="6148" width="24.5703125" style="544" customWidth="1"/>
    <col min="6149" max="6149" width="17.7109375" style="544" bestFit="1" customWidth="1"/>
    <col min="6150" max="6150" width="12.5703125" style="544" bestFit="1" customWidth="1"/>
    <col min="6151" max="6151" width="14.5703125" style="544" bestFit="1" customWidth="1"/>
    <col min="6152" max="6152" width="17.5703125" style="544" customWidth="1"/>
    <col min="6153" max="6153" width="6.42578125" style="544" customWidth="1"/>
    <col min="6154" max="6154" width="15.5703125" style="544" bestFit="1" customWidth="1"/>
    <col min="6155" max="6155" width="17.7109375" style="544" bestFit="1" customWidth="1"/>
    <col min="6156" max="6156" width="9.140625" style="544"/>
    <col min="6157" max="6157" width="10.28515625" style="544" customWidth="1"/>
    <col min="6158" max="6158" width="9.140625" style="544"/>
    <col min="6159" max="6159" width="9.28515625" style="544" customWidth="1"/>
    <col min="6160" max="6160" width="10" style="544" customWidth="1"/>
    <col min="6161" max="6402" width="9.140625" style="544"/>
    <col min="6403" max="6403" width="4.140625" style="544" customWidth="1"/>
    <col min="6404" max="6404" width="24.5703125" style="544" customWidth="1"/>
    <col min="6405" max="6405" width="17.7109375" style="544" bestFit="1" customWidth="1"/>
    <col min="6406" max="6406" width="12.5703125" style="544" bestFit="1" customWidth="1"/>
    <col min="6407" max="6407" width="14.5703125" style="544" bestFit="1" customWidth="1"/>
    <col min="6408" max="6408" width="17.5703125" style="544" customWidth="1"/>
    <col min="6409" max="6409" width="6.42578125" style="544" customWidth="1"/>
    <col min="6410" max="6410" width="15.5703125" style="544" bestFit="1" customWidth="1"/>
    <col min="6411" max="6411" width="17.7109375" style="544" bestFit="1" customWidth="1"/>
    <col min="6412" max="6412" width="9.140625" style="544"/>
    <col min="6413" max="6413" width="10.28515625" style="544" customWidth="1"/>
    <col min="6414" max="6414" width="9.140625" style="544"/>
    <col min="6415" max="6415" width="9.28515625" style="544" customWidth="1"/>
    <col min="6416" max="6416" width="10" style="544" customWidth="1"/>
    <col min="6417" max="6658" width="9.140625" style="544"/>
    <col min="6659" max="6659" width="4.140625" style="544" customWidth="1"/>
    <col min="6660" max="6660" width="24.5703125" style="544" customWidth="1"/>
    <col min="6661" max="6661" width="17.7109375" style="544" bestFit="1" customWidth="1"/>
    <col min="6662" max="6662" width="12.5703125" style="544" bestFit="1" customWidth="1"/>
    <col min="6663" max="6663" width="14.5703125" style="544" bestFit="1" customWidth="1"/>
    <col min="6664" max="6664" width="17.5703125" style="544" customWidth="1"/>
    <col min="6665" max="6665" width="6.42578125" style="544" customWidth="1"/>
    <col min="6666" max="6666" width="15.5703125" style="544" bestFit="1" customWidth="1"/>
    <col min="6667" max="6667" width="17.7109375" style="544" bestFit="1" customWidth="1"/>
    <col min="6668" max="6668" width="9.140625" style="544"/>
    <col min="6669" max="6669" width="10.28515625" style="544" customWidth="1"/>
    <col min="6670" max="6670" width="9.140625" style="544"/>
    <col min="6671" max="6671" width="9.28515625" style="544" customWidth="1"/>
    <col min="6672" max="6672" width="10" style="544" customWidth="1"/>
    <col min="6673" max="6914" width="9.140625" style="544"/>
    <col min="6915" max="6915" width="4.140625" style="544" customWidth="1"/>
    <col min="6916" max="6916" width="24.5703125" style="544" customWidth="1"/>
    <col min="6917" max="6917" width="17.7109375" style="544" bestFit="1" customWidth="1"/>
    <col min="6918" max="6918" width="12.5703125" style="544" bestFit="1" customWidth="1"/>
    <col min="6919" max="6919" width="14.5703125" style="544" bestFit="1" customWidth="1"/>
    <col min="6920" max="6920" width="17.5703125" style="544" customWidth="1"/>
    <col min="6921" max="6921" width="6.42578125" style="544" customWidth="1"/>
    <col min="6922" max="6922" width="15.5703125" style="544" bestFit="1" customWidth="1"/>
    <col min="6923" max="6923" width="17.7109375" style="544" bestFit="1" customWidth="1"/>
    <col min="6924" max="6924" width="9.140625" style="544"/>
    <col min="6925" max="6925" width="10.28515625" style="544" customWidth="1"/>
    <col min="6926" max="6926" width="9.140625" style="544"/>
    <col min="6927" max="6927" width="9.28515625" style="544" customWidth="1"/>
    <col min="6928" max="6928" width="10" style="544" customWidth="1"/>
    <col min="6929" max="7170" width="9.140625" style="544"/>
    <col min="7171" max="7171" width="4.140625" style="544" customWidth="1"/>
    <col min="7172" max="7172" width="24.5703125" style="544" customWidth="1"/>
    <col min="7173" max="7173" width="17.7109375" style="544" bestFit="1" customWidth="1"/>
    <col min="7174" max="7174" width="12.5703125" style="544" bestFit="1" customWidth="1"/>
    <col min="7175" max="7175" width="14.5703125" style="544" bestFit="1" customWidth="1"/>
    <col min="7176" max="7176" width="17.5703125" style="544" customWidth="1"/>
    <col min="7177" max="7177" width="6.42578125" style="544" customWidth="1"/>
    <col min="7178" max="7178" width="15.5703125" style="544" bestFit="1" customWidth="1"/>
    <col min="7179" max="7179" width="17.7109375" style="544" bestFit="1" customWidth="1"/>
    <col min="7180" max="7180" width="9.140625" style="544"/>
    <col min="7181" max="7181" width="10.28515625" style="544" customWidth="1"/>
    <col min="7182" max="7182" width="9.140625" style="544"/>
    <col min="7183" max="7183" width="9.28515625" style="544" customWidth="1"/>
    <col min="7184" max="7184" width="10" style="544" customWidth="1"/>
    <col min="7185" max="7426" width="9.140625" style="544"/>
    <col min="7427" max="7427" width="4.140625" style="544" customWidth="1"/>
    <col min="7428" max="7428" width="24.5703125" style="544" customWidth="1"/>
    <col min="7429" max="7429" width="17.7109375" style="544" bestFit="1" customWidth="1"/>
    <col min="7430" max="7430" width="12.5703125" style="544" bestFit="1" customWidth="1"/>
    <col min="7431" max="7431" width="14.5703125" style="544" bestFit="1" customWidth="1"/>
    <col min="7432" max="7432" width="17.5703125" style="544" customWidth="1"/>
    <col min="7433" max="7433" width="6.42578125" style="544" customWidth="1"/>
    <col min="7434" max="7434" width="15.5703125" style="544" bestFit="1" customWidth="1"/>
    <col min="7435" max="7435" width="17.7109375" style="544" bestFit="1" customWidth="1"/>
    <col min="7436" max="7436" width="9.140625" style="544"/>
    <col min="7437" max="7437" width="10.28515625" style="544" customWidth="1"/>
    <col min="7438" max="7438" width="9.140625" style="544"/>
    <col min="7439" max="7439" width="9.28515625" style="544" customWidth="1"/>
    <col min="7440" max="7440" width="10" style="544" customWidth="1"/>
    <col min="7441" max="7682" width="9.140625" style="544"/>
    <col min="7683" max="7683" width="4.140625" style="544" customWidth="1"/>
    <col min="7684" max="7684" width="24.5703125" style="544" customWidth="1"/>
    <col min="7685" max="7685" width="17.7109375" style="544" bestFit="1" customWidth="1"/>
    <col min="7686" max="7686" width="12.5703125" style="544" bestFit="1" customWidth="1"/>
    <col min="7687" max="7687" width="14.5703125" style="544" bestFit="1" customWidth="1"/>
    <col min="7688" max="7688" width="17.5703125" style="544" customWidth="1"/>
    <col min="7689" max="7689" width="6.42578125" style="544" customWidth="1"/>
    <col min="7690" max="7690" width="15.5703125" style="544" bestFit="1" customWidth="1"/>
    <col min="7691" max="7691" width="17.7109375" style="544" bestFit="1" customWidth="1"/>
    <col min="7692" max="7692" width="9.140625" style="544"/>
    <col min="7693" max="7693" width="10.28515625" style="544" customWidth="1"/>
    <col min="7694" max="7694" width="9.140625" style="544"/>
    <col min="7695" max="7695" width="9.28515625" style="544" customWidth="1"/>
    <col min="7696" max="7696" width="10" style="544" customWidth="1"/>
    <col min="7697" max="7938" width="9.140625" style="544"/>
    <col min="7939" max="7939" width="4.140625" style="544" customWidth="1"/>
    <col min="7940" max="7940" width="24.5703125" style="544" customWidth="1"/>
    <col min="7941" max="7941" width="17.7109375" style="544" bestFit="1" customWidth="1"/>
    <col min="7942" max="7942" width="12.5703125" style="544" bestFit="1" customWidth="1"/>
    <col min="7943" max="7943" width="14.5703125" style="544" bestFit="1" customWidth="1"/>
    <col min="7944" max="7944" width="17.5703125" style="544" customWidth="1"/>
    <col min="7945" max="7945" width="6.42578125" style="544" customWidth="1"/>
    <col min="7946" max="7946" width="15.5703125" style="544" bestFit="1" customWidth="1"/>
    <col min="7947" max="7947" width="17.7109375" style="544" bestFit="1" customWidth="1"/>
    <col min="7948" max="7948" width="9.140625" style="544"/>
    <col min="7949" max="7949" width="10.28515625" style="544" customWidth="1"/>
    <col min="7950" max="7950" width="9.140625" style="544"/>
    <col min="7951" max="7951" width="9.28515625" style="544" customWidth="1"/>
    <col min="7952" max="7952" width="10" style="544" customWidth="1"/>
    <col min="7953" max="8194" width="9.140625" style="544"/>
    <col min="8195" max="8195" width="4.140625" style="544" customWidth="1"/>
    <col min="8196" max="8196" width="24.5703125" style="544" customWidth="1"/>
    <col min="8197" max="8197" width="17.7109375" style="544" bestFit="1" customWidth="1"/>
    <col min="8198" max="8198" width="12.5703125" style="544" bestFit="1" customWidth="1"/>
    <col min="8199" max="8199" width="14.5703125" style="544" bestFit="1" customWidth="1"/>
    <col min="8200" max="8200" width="17.5703125" style="544" customWidth="1"/>
    <col min="8201" max="8201" width="6.42578125" style="544" customWidth="1"/>
    <col min="8202" max="8202" width="15.5703125" style="544" bestFit="1" customWidth="1"/>
    <col min="8203" max="8203" width="17.7109375" style="544" bestFit="1" customWidth="1"/>
    <col min="8204" max="8204" width="9.140625" style="544"/>
    <col min="8205" max="8205" width="10.28515625" style="544" customWidth="1"/>
    <col min="8206" max="8206" width="9.140625" style="544"/>
    <col min="8207" max="8207" width="9.28515625" style="544" customWidth="1"/>
    <col min="8208" max="8208" width="10" style="544" customWidth="1"/>
    <col min="8209" max="8450" width="9.140625" style="544"/>
    <col min="8451" max="8451" width="4.140625" style="544" customWidth="1"/>
    <col min="8452" max="8452" width="24.5703125" style="544" customWidth="1"/>
    <col min="8453" max="8453" width="17.7109375" style="544" bestFit="1" customWidth="1"/>
    <col min="8454" max="8454" width="12.5703125" style="544" bestFit="1" customWidth="1"/>
    <col min="8455" max="8455" width="14.5703125" style="544" bestFit="1" customWidth="1"/>
    <col min="8456" max="8456" width="17.5703125" style="544" customWidth="1"/>
    <col min="8457" max="8457" width="6.42578125" style="544" customWidth="1"/>
    <col min="8458" max="8458" width="15.5703125" style="544" bestFit="1" customWidth="1"/>
    <col min="8459" max="8459" width="17.7109375" style="544" bestFit="1" customWidth="1"/>
    <col min="8460" max="8460" width="9.140625" style="544"/>
    <col min="8461" max="8461" width="10.28515625" style="544" customWidth="1"/>
    <col min="8462" max="8462" width="9.140625" style="544"/>
    <col min="8463" max="8463" width="9.28515625" style="544" customWidth="1"/>
    <col min="8464" max="8464" width="10" style="544" customWidth="1"/>
    <col min="8465" max="8706" width="9.140625" style="544"/>
    <col min="8707" max="8707" width="4.140625" style="544" customWidth="1"/>
    <col min="8708" max="8708" width="24.5703125" style="544" customWidth="1"/>
    <col min="8709" max="8709" width="17.7109375" style="544" bestFit="1" customWidth="1"/>
    <col min="8710" max="8710" width="12.5703125" style="544" bestFit="1" customWidth="1"/>
    <col min="8711" max="8711" width="14.5703125" style="544" bestFit="1" customWidth="1"/>
    <col min="8712" max="8712" width="17.5703125" style="544" customWidth="1"/>
    <col min="8713" max="8713" width="6.42578125" style="544" customWidth="1"/>
    <col min="8714" max="8714" width="15.5703125" style="544" bestFit="1" customWidth="1"/>
    <col min="8715" max="8715" width="17.7109375" style="544" bestFit="1" customWidth="1"/>
    <col min="8716" max="8716" width="9.140625" style="544"/>
    <col min="8717" max="8717" width="10.28515625" style="544" customWidth="1"/>
    <col min="8718" max="8718" width="9.140625" style="544"/>
    <col min="8719" max="8719" width="9.28515625" style="544" customWidth="1"/>
    <col min="8720" max="8720" width="10" style="544" customWidth="1"/>
    <col min="8721" max="8962" width="9.140625" style="544"/>
    <col min="8963" max="8963" width="4.140625" style="544" customWidth="1"/>
    <col min="8964" max="8964" width="24.5703125" style="544" customWidth="1"/>
    <col min="8965" max="8965" width="17.7109375" style="544" bestFit="1" customWidth="1"/>
    <col min="8966" max="8966" width="12.5703125" style="544" bestFit="1" customWidth="1"/>
    <col min="8967" max="8967" width="14.5703125" style="544" bestFit="1" customWidth="1"/>
    <col min="8968" max="8968" width="17.5703125" style="544" customWidth="1"/>
    <col min="8969" max="8969" width="6.42578125" style="544" customWidth="1"/>
    <col min="8970" max="8970" width="15.5703125" style="544" bestFit="1" customWidth="1"/>
    <col min="8971" max="8971" width="17.7109375" style="544" bestFit="1" customWidth="1"/>
    <col min="8972" max="8972" width="9.140625" style="544"/>
    <col min="8973" max="8973" width="10.28515625" style="544" customWidth="1"/>
    <col min="8974" max="8974" width="9.140625" style="544"/>
    <col min="8975" max="8975" width="9.28515625" style="544" customWidth="1"/>
    <col min="8976" max="8976" width="10" style="544" customWidth="1"/>
    <col min="8977" max="9218" width="9.140625" style="544"/>
    <col min="9219" max="9219" width="4.140625" style="544" customWidth="1"/>
    <col min="9220" max="9220" width="24.5703125" style="544" customWidth="1"/>
    <col min="9221" max="9221" width="17.7109375" style="544" bestFit="1" customWidth="1"/>
    <col min="9222" max="9222" width="12.5703125" style="544" bestFit="1" customWidth="1"/>
    <col min="9223" max="9223" width="14.5703125" style="544" bestFit="1" customWidth="1"/>
    <col min="9224" max="9224" width="17.5703125" style="544" customWidth="1"/>
    <col min="9225" max="9225" width="6.42578125" style="544" customWidth="1"/>
    <col min="9226" max="9226" width="15.5703125" style="544" bestFit="1" customWidth="1"/>
    <col min="9227" max="9227" width="17.7109375" style="544" bestFit="1" customWidth="1"/>
    <col min="9228" max="9228" width="9.140625" style="544"/>
    <col min="9229" max="9229" width="10.28515625" style="544" customWidth="1"/>
    <col min="9230" max="9230" width="9.140625" style="544"/>
    <col min="9231" max="9231" width="9.28515625" style="544" customWidth="1"/>
    <col min="9232" max="9232" width="10" style="544" customWidth="1"/>
    <col min="9233" max="9474" width="9.140625" style="544"/>
    <col min="9475" max="9475" width="4.140625" style="544" customWidth="1"/>
    <col min="9476" max="9476" width="24.5703125" style="544" customWidth="1"/>
    <col min="9477" max="9477" width="17.7109375" style="544" bestFit="1" customWidth="1"/>
    <col min="9478" max="9478" width="12.5703125" style="544" bestFit="1" customWidth="1"/>
    <col min="9479" max="9479" width="14.5703125" style="544" bestFit="1" customWidth="1"/>
    <col min="9480" max="9480" width="17.5703125" style="544" customWidth="1"/>
    <col min="9481" max="9481" width="6.42578125" style="544" customWidth="1"/>
    <col min="9482" max="9482" width="15.5703125" style="544" bestFit="1" customWidth="1"/>
    <col min="9483" max="9483" width="17.7109375" style="544" bestFit="1" customWidth="1"/>
    <col min="9484" max="9484" width="9.140625" style="544"/>
    <col min="9485" max="9485" width="10.28515625" style="544" customWidth="1"/>
    <col min="9486" max="9486" width="9.140625" style="544"/>
    <col min="9487" max="9487" width="9.28515625" style="544" customWidth="1"/>
    <col min="9488" max="9488" width="10" style="544" customWidth="1"/>
    <col min="9489" max="9730" width="9.140625" style="544"/>
    <col min="9731" max="9731" width="4.140625" style="544" customWidth="1"/>
    <col min="9732" max="9732" width="24.5703125" style="544" customWidth="1"/>
    <col min="9733" max="9733" width="17.7109375" style="544" bestFit="1" customWidth="1"/>
    <col min="9734" max="9734" width="12.5703125" style="544" bestFit="1" customWidth="1"/>
    <col min="9735" max="9735" width="14.5703125" style="544" bestFit="1" customWidth="1"/>
    <col min="9736" max="9736" width="17.5703125" style="544" customWidth="1"/>
    <col min="9737" max="9737" width="6.42578125" style="544" customWidth="1"/>
    <col min="9738" max="9738" width="15.5703125" style="544" bestFit="1" customWidth="1"/>
    <col min="9739" max="9739" width="17.7109375" style="544" bestFit="1" customWidth="1"/>
    <col min="9740" max="9740" width="9.140625" style="544"/>
    <col min="9741" max="9741" width="10.28515625" style="544" customWidth="1"/>
    <col min="9742" max="9742" width="9.140625" style="544"/>
    <col min="9743" max="9743" width="9.28515625" style="544" customWidth="1"/>
    <col min="9744" max="9744" width="10" style="544" customWidth="1"/>
    <col min="9745" max="9986" width="9.140625" style="544"/>
    <col min="9987" max="9987" width="4.140625" style="544" customWidth="1"/>
    <col min="9988" max="9988" width="24.5703125" style="544" customWidth="1"/>
    <col min="9989" max="9989" width="17.7109375" style="544" bestFit="1" customWidth="1"/>
    <col min="9990" max="9990" width="12.5703125" style="544" bestFit="1" customWidth="1"/>
    <col min="9991" max="9991" width="14.5703125" style="544" bestFit="1" customWidth="1"/>
    <col min="9992" max="9992" width="17.5703125" style="544" customWidth="1"/>
    <col min="9993" max="9993" width="6.42578125" style="544" customWidth="1"/>
    <col min="9994" max="9994" width="15.5703125" style="544" bestFit="1" customWidth="1"/>
    <col min="9995" max="9995" width="17.7109375" style="544" bestFit="1" customWidth="1"/>
    <col min="9996" max="9996" width="9.140625" style="544"/>
    <col min="9997" max="9997" width="10.28515625" style="544" customWidth="1"/>
    <col min="9998" max="9998" width="9.140625" style="544"/>
    <col min="9999" max="9999" width="9.28515625" style="544" customWidth="1"/>
    <col min="10000" max="10000" width="10" style="544" customWidth="1"/>
    <col min="10001" max="10242" width="9.140625" style="544"/>
    <col min="10243" max="10243" width="4.140625" style="544" customWidth="1"/>
    <col min="10244" max="10244" width="24.5703125" style="544" customWidth="1"/>
    <col min="10245" max="10245" width="17.7109375" style="544" bestFit="1" customWidth="1"/>
    <col min="10246" max="10246" width="12.5703125" style="544" bestFit="1" customWidth="1"/>
    <col min="10247" max="10247" width="14.5703125" style="544" bestFit="1" customWidth="1"/>
    <col min="10248" max="10248" width="17.5703125" style="544" customWidth="1"/>
    <col min="10249" max="10249" width="6.42578125" style="544" customWidth="1"/>
    <col min="10250" max="10250" width="15.5703125" style="544" bestFit="1" customWidth="1"/>
    <col min="10251" max="10251" width="17.7109375" style="544" bestFit="1" customWidth="1"/>
    <col min="10252" max="10252" width="9.140625" style="544"/>
    <col min="10253" max="10253" width="10.28515625" style="544" customWidth="1"/>
    <col min="10254" max="10254" width="9.140625" style="544"/>
    <col min="10255" max="10255" width="9.28515625" style="544" customWidth="1"/>
    <col min="10256" max="10256" width="10" style="544" customWidth="1"/>
    <col min="10257" max="10498" width="9.140625" style="544"/>
    <col min="10499" max="10499" width="4.140625" style="544" customWidth="1"/>
    <col min="10500" max="10500" width="24.5703125" style="544" customWidth="1"/>
    <col min="10501" max="10501" width="17.7109375" style="544" bestFit="1" customWidth="1"/>
    <col min="10502" max="10502" width="12.5703125" style="544" bestFit="1" customWidth="1"/>
    <col min="10503" max="10503" width="14.5703125" style="544" bestFit="1" customWidth="1"/>
    <col min="10504" max="10504" width="17.5703125" style="544" customWidth="1"/>
    <col min="10505" max="10505" width="6.42578125" style="544" customWidth="1"/>
    <col min="10506" max="10506" width="15.5703125" style="544" bestFit="1" customWidth="1"/>
    <col min="10507" max="10507" width="17.7109375" style="544" bestFit="1" customWidth="1"/>
    <col min="10508" max="10508" width="9.140625" style="544"/>
    <col min="10509" max="10509" width="10.28515625" style="544" customWidth="1"/>
    <col min="10510" max="10510" width="9.140625" style="544"/>
    <col min="10511" max="10511" width="9.28515625" style="544" customWidth="1"/>
    <col min="10512" max="10512" width="10" style="544" customWidth="1"/>
    <col min="10513" max="10754" width="9.140625" style="544"/>
    <col min="10755" max="10755" width="4.140625" style="544" customWidth="1"/>
    <col min="10756" max="10756" width="24.5703125" style="544" customWidth="1"/>
    <col min="10757" max="10757" width="17.7109375" style="544" bestFit="1" customWidth="1"/>
    <col min="10758" max="10758" width="12.5703125" style="544" bestFit="1" customWidth="1"/>
    <col min="10759" max="10759" width="14.5703125" style="544" bestFit="1" customWidth="1"/>
    <col min="10760" max="10760" width="17.5703125" style="544" customWidth="1"/>
    <col min="10761" max="10761" width="6.42578125" style="544" customWidth="1"/>
    <col min="10762" max="10762" width="15.5703125" style="544" bestFit="1" customWidth="1"/>
    <col min="10763" max="10763" width="17.7109375" style="544" bestFit="1" customWidth="1"/>
    <col min="10764" max="10764" width="9.140625" style="544"/>
    <col min="10765" max="10765" width="10.28515625" style="544" customWidth="1"/>
    <col min="10766" max="10766" width="9.140625" style="544"/>
    <col min="10767" max="10767" width="9.28515625" style="544" customWidth="1"/>
    <col min="10768" max="10768" width="10" style="544" customWidth="1"/>
    <col min="10769" max="11010" width="9.140625" style="544"/>
    <col min="11011" max="11011" width="4.140625" style="544" customWidth="1"/>
    <col min="11012" max="11012" width="24.5703125" style="544" customWidth="1"/>
    <col min="11013" max="11013" width="17.7109375" style="544" bestFit="1" customWidth="1"/>
    <col min="11014" max="11014" width="12.5703125" style="544" bestFit="1" customWidth="1"/>
    <col min="11015" max="11015" width="14.5703125" style="544" bestFit="1" customWidth="1"/>
    <col min="11016" max="11016" width="17.5703125" style="544" customWidth="1"/>
    <col min="11017" max="11017" width="6.42578125" style="544" customWidth="1"/>
    <col min="11018" max="11018" width="15.5703125" style="544" bestFit="1" customWidth="1"/>
    <col min="11019" max="11019" width="17.7109375" style="544" bestFit="1" customWidth="1"/>
    <col min="11020" max="11020" width="9.140625" style="544"/>
    <col min="11021" max="11021" width="10.28515625" style="544" customWidth="1"/>
    <col min="11022" max="11022" width="9.140625" style="544"/>
    <col min="11023" max="11023" width="9.28515625" style="544" customWidth="1"/>
    <col min="11024" max="11024" width="10" style="544" customWidth="1"/>
    <col min="11025" max="11266" width="9.140625" style="544"/>
    <col min="11267" max="11267" width="4.140625" style="544" customWidth="1"/>
    <col min="11268" max="11268" width="24.5703125" style="544" customWidth="1"/>
    <col min="11269" max="11269" width="17.7109375" style="544" bestFit="1" customWidth="1"/>
    <col min="11270" max="11270" width="12.5703125" style="544" bestFit="1" customWidth="1"/>
    <col min="11271" max="11271" width="14.5703125" style="544" bestFit="1" customWidth="1"/>
    <col min="11272" max="11272" width="17.5703125" style="544" customWidth="1"/>
    <col min="11273" max="11273" width="6.42578125" style="544" customWidth="1"/>
    <col min="11274" max="11274" width="15.5703125" style="544" bestFit="1" customWidth="1"/>
    <col min="11275" max="11275" width="17.7109375" style="544" bestFit="1" customWidth="1"/>
    <col min="11276" max="11276" width="9.140625" style="544"/>
    <col min="11277" max="11277" width="10.28515625" style="544" customWidth="1"/>
    <col min="11278" max="11278" width="9.140625" style="544"/>
    <col min="11279" max="11279" width="9.28515625" style="544" customWidth="1"/>
    <col min="11280" max="11280" width="10" style="544" customWidth="1"/>
    <col min="11281" max="11522" width="9.140625" style="544"/>
    <col min="11523" max="11523" width="4.140625" style="544" customWidth="1"/>
    <col min="11524" max="11524" width="24.5703125" style="544" customWidth="1"/>
    <col min="11525" max="11525" width="17.7109375" style="544" bestFit="1" customWidth="1"/>
    <col min="11526" max="11526" width="12.5703125" style="544" bestFit="1" customWidth="1"/>
    <col min="11527" max="11527" width="14.5703125" style="544" bestFit="1" customWidth="1"/>
    <col min="11528" max="11528" width="17.5703125" style="544" customWidth="1"/>
    <col min="11529" max="11529" width="6.42578125" style="544" customWidth="1"/>
    <col min="11530" max="11530" width="15.5703125" style="544" bestFit="1" customWidth="1"/>
    <col min="11531" max="11531" width="17.7109375" style="544" bestFit="1" customWidth="1"/>
    <col min="11532" max="11532" width="9.140625" style="544"/>
    <col min="11533" max="11533" width="10.28515625" style="544" customWidth="1"/>
    <col min="11534" max="11534" width="9.140625" style="544"/>
    <col min="11535" max="11535" width="9.28515625" style="544" customWidth="1"/>
    <col min="11536" max="11536" width="10" style="544" customWidth="1"/>
    <col min="11537" max="11778" width="9.140625" style="544"/>
    <col min="11779" max="11779" width="4.140625" style="544" customWidth="1"/>
    <col min="11780" max="11780" width="24.5703125" style="544" customWidth="1"/>
    <col min="11781" max="11781" width="17.7109375" style="544" bestFit="1" customWidth="1"/>
    <col min="11782" max="11782" width="12.5703125" style="544" bestFit="1" customWidth="1"/>
    <col min="11783" max="11783" width="14.5703125" style="544" bestFit="1" customWidth="1"/>
    <col min="11784" max="11784" width="17.5703125" style="544" customWidth="1"/>
    <col min="11785" max="11785" width="6.42578125" style="544" customWidth="1"/>
    <col min="11786" max="11786" width="15.5703125" style="544" bestFit="1" customWidth="1"/>
    <col min="11787" max="11787" width="17.7109375" style="544" bestFit="1" customWidth="1"/>
    <col min="11788" max="11788" width="9.140625" style="544"/>
    <col min="11789" max="11789" width="10.28515625" style="544" customWidth="1"/>
    <col min="11790" max="11790" width="9.140625" style="544"/>
    <col min="11791" max="11791" width="9.28515625" style="544" customWidth="1"/>
    <col min="11792" max="11792" width="10" style="544" customWidth="1"/>
    <col min="11793" max="12034" width="9.140625" style="544"/>
    <col min="12035" max="12035" width="4.140625" style="544" customWidth="1"/>
    <col min="12036" max="12036" width="24.5703125" style="544" customWidth="1"/>
    <col min="12037" max="12037" width="17.7109375" style="544" bestFit="1" customWidth="1"/>
    <col min="12038" max="12038" width="12.5703125" style="544" bestFit="1" customWidth="1"/>
    <col min="12039" max="12039" width="14.5703125" style="544" bestFit="1" customWidth="1"/>
    <col min="12040" max="12040" width="17.5703125" style="544" customWidth="1"/>
    <col min="12041" max="12041" width="6.42578125" style="544" customWidth="1"/>
    <col min="12042" max="12042" width="15.5703125" style="544" bestFit="1" customWidth="1"/>
    <col min="12043" max="12043" width="17.7109375" style="544" bestFit="1" customWidth="1"/>
    <col min="12044" max="12044" width="9.140625" style="544"/>
    <col min="12045" max="12045" width="10.28515625" style="544" customWidth="1"/>
    <col min="12046" max="12046" width="9.140625" style="544"/>
    <col min="12047" max="12047" width="9.28515625" style="544" customWidth="1"/>
    <col min="12048" max="12048" width="10" style="544" customWidth="1"/>
    <col min="12049" max="12290" width="9.140625" style="544"/>
    <col min="12291" max="12291" width="4.140625" style="544" customWidth="1"/>
    <col min="12292" max="12292" width="24.5703125" style="544" customWidth="1"/>
    <col min="12293" max="12293" width="17.7109375" style="544" bestFit="1" customWidth="1"/>
    <col min="12294" max="12294" width="12.5703125" style="544" bestFit="1" customWidth="1"/>
    <col min="12295" max="12295" width="14.5703125" style="544" bestFit="1" customWidth="1"/>
    <col min="12296" max="12296" width="17.5703125" style="544" customWidth="1"/>
    <col min="12297" max="12297" width="6.42578125" style="544" customWidth="1"/>
    <col min="12298" max="12298" width="15.5703125" style="544" bestFit="1" customWidth="1"/>
    <col min="12299" max="12299" width="17.7109375" style="544" bestFit="1" customWidth="1"/>
    <col min="12300" max="12300" width="9.140625" style="544"/>
    <col min="12301" max="12301" width="10.28515625" style="544" customWidth="1"/>
    <col min="12302" max="12302" width="9.140625" style="544"/>
    <col min="12303" max="12303" width="9.28515625" style="544" customWidth="1"/>
    <col min="12304" max="12304" width="10" style="544" customWidth="1"/>
    <col min="12305" max="12546" width="9.140625" style="544"/>
    <col min="12547" max="12547" width="4.140625" style="544" customWidth="1"/>
    <col min="12548" max="12548" width="24.5703125" style="544" customWidth="1"/>
    <col min="12549" max="12549" width="17.7109375" style="544" bestFit="1" customWidth="1"/>
    <col min="12550" max="12550" width="12.5703125" style="544" bestFit="1" customWidth="1"/>
    <col min="12551" max="12551" width="14.5703125" style="544" bestFit="1" customWidth="1"/>
    <col min="12552" max="12552" width="17.5703125" style="544" customWidth="1"/>
    <col min="12553" max="12553" width="6.42578125" style="544" customWidth="1"/>
    <col min="12554" max="12554" width="15.5703125" style="544" bestFit="1" customWidth="1"/>
    <col min="12555" max="12555" width="17.7109375" style="544" bestFit="1" customWidth="1"/>
    <col min="12556" max="12556" width="9.140625" style="544"/>
    <col min="12557" max="12557" width="10.28515625" style="544" customWidth="1"/>
    <col min="12558" max="12558" width="9.140625" style="544"/>
    <col min="12559" max="12559" width="9.28515625" style="544" customWidth="1"/>
    <col min="12560" max="12560" width="10" style="544" customWidth="1"/>
    <col min="12561" max="12802" width="9.140625" style="544"/>
    <col min="12803" max="12803" width="4.140625" style="544" customWidth="1"/>
    <col min="12804" max="12804" width="24.5703125" style="544" customWidth="1"/>
    <col min="12805" max="12805" width="17.7109375" style="544" bestFit="1" customWidth="1"/>
    <col min="12806" max="12806" width="12.5703125" style="544" bestFit="1" customWidth="1"/>
    <col min="12807" max="12807" width="14.5703125" style="544" bestFit="1" customWidth="1"/>
    <col min="12808" max="12808" width="17.5703125" style="544" customWidth="1"/>
    <col min="12809" max="12809" width="6.42578125" style="544" customWidth="1"/>
    <col min="12810" max="12810" width="15.5703125" style="544" bestFit="1" customWidth="1"/>
    <col min="12811" max="12811" width="17.7109375" style="544" bestFit="1" customWidth="1"/>
    <col min="12812" max="12812" width="9.140625" style="544"/>
    <col min="12813" max="12813" width="10.28515625" style="544" customWidth="1"/>
    <col min="12814" max="12814" width="9.140625" style="544"/>
    <col min="12815" max="12815" width="9.28515625" style="544" customWidth="1"/>
    <col min="12816" max="12816" width="10" style="544" customWidth="1"/>
    <col min="12817" max="13058" width="9.140625" style="544"/>
    <col min="13059" max="13059" width="4.140625" style="544" customWidth="1"/>
    <col min="13060" max="13060" width="24.5703125" style="544" customWidth="1"/>
    <col min="13061" max="13061" width="17.7109375" style="544" bestFit="1" customWidth="1"/>
    <col min="13062" max="13062" width="12.5703125" style="544" bestFit="1" customWidth="1"/>
    <col min="13063" max="13063" width="14.5703125" style="544" bestFit="1" customWidth="1"/>
    <col min="13064" max="13064" width="17.5703125" style="544" customWidth="1"/>
    <col min="13065" max="13065" width="6.42578125" style="544" customWidth="1"/>
    <col min="13066" max="13066" width="15.5703125" style="544" bestFit="1" customWidth="1"/>
    <col min="13067" max="13067" width="17.7109375" style="544" bestFit="1" customWidth="1"/>
    <col min="13068" max="13068" width="9.140625" style="544"/>
    <col min="13069" max="13069" width="10.28515625" style="544" customWidth="1"/>
    <col min="13070" max="13070" width="9.140625" style="544"/>
    <col min="13071" max="13071" width="9.28515625" style="544" customWidth="1"/>
    <col min="13072" max="13072" width="10" style="544" customWidth="1"/>
    <col min="13073" max="13314" width="9.140625" style="544"/>
    <col min="13315" max="13315" width="4.140625" style="544" customWidth="1"/>
    <col min="13316" max="13316" width="24.5703125" style="544" customWidth="1"/>
    <col min="13317" max="13317" width="17.7109375" style="544" bestFit="1" customWidth="1"/>
    <col min="13318" max="13318" width="12.5703125" style="544" bestFit="1" customWidth="1"/>
    <col min="13319" max="13319" width="14.5703125" style="544" bestFit="1" customWidth="1"/>
    <col min="13320" max="13320" width="17.5703125" style="544" customWidth="1"/>
    <col min="13321" max="13321" width="6.42578125" style="544" customWidth="1"/>
    <col min="13322" max="13322" width="15.5703125" style="544" bestFit="1" customWidth="1"/>
    <col min="13323" max="13323" width="17.7109375" style="544" bestFit="1" customWidth="1"/>
    <col min="13324" max="13324" width="9.140625" style="544"/>
    <col min="13325" max="13325" width="10.28515625" style="544" customWidth="1"/>
    <col min="13326" max="13326" width="9.140625" style="544"/>
    <col min="13327" max="13327" width="9.28515625" style="544" customWidth="1"/>
    <col min="13328" max="13328" width="10" style="544" customWidth="1"/>
    <col min="13329" max="13570" width="9.140625" style="544"/>
    <col min="13571" max="13571" width="4.140625" style="544" customWidth="1"/>
    <col min="13572" max="13572" width="24.5703125" style="544" customWidth="1"/>
    <col min="13573" max="13573" width="17.7109375" style="544" bestFit="1" customWidth="1"/>
    <col min="13574" max="13574" width="12.5703125" style="544" bestFit="1" customWidth="1"/>
    <col min="13575" max="13575" width="14.5703125" style="544" bestFit="1" customWidth="1"/>
    <col min="13576" max="13576" width="17.5703125" style="544" customWidth="1"/>
    <col min="13577" max="13577" width="6.42578125" style="544" customWidth="1"/>
    <col min="13578" max="13578" width="15.5703125" style="544" bestFit="1" customWidth="1"/>
    <col min="13579" max="13579" width="17.7109375" style="544" bestFit="1" customWidth="1"/>
    <col min="13580" max="13580" width="9.140625" style="544"/>
    <col min="13581" max="13581" width="10.28515625" style="544" customWidth="1"/>
    <col min="13582" max="13582" width="9.140625" style="544"/>
    <col min="13583" max="13583" width="9.28515625" style="544" customWidth="1"/>
    <col min="13584" max="13584" width="10" style="544" customWidth="1"/>
    <col min="13585" max="13826" width="9.140625" style="544"/>
    <col min="13827" max="13827" width="4.140625" style="544" customWidth="1"/>
    <col min="13828" max="13828" width="24.5703125" style="544" customWidth="1"/>
    <col min="13829" max="13829" width="17.7109375" style="544" bestFit="1" customWidth="1"/>
    <col min="13830" max="13830" width="12.5703125" style="544" bestFit="1" customWidth="1"/>
    <col min="13831" max="13831" width="14.5703125" style="544" bestFit="1" customWidth="1"/>
    <col min="13832" max="13832" width="17.5703125" style="544" customWidth="1"/>
    <col min="13833" max="13833" width="6.42578125" style="544" customWidth="1"/>
    <col min="13834" max="13834" width="15.5703125" style="544" bestFit="1" customWidth="1"/>
    <col min="13835" max="13835" width="17.7109375" style="544" bestFit="1" customWidth="1"/>
    <col min="13836" max="13836" width="9.140625" style="544"/>
    <col min="13837" max="13837" width="10.28515625" style="544" customWidth="1"/>
    <col min="13838" max="13838" width="9.140625" style="544"/>
    <col min="13839" max="13839" width="9.28515625" style="544" customWidth="1"/>
    <col min="13840" max="13840" width="10" style="544" customWidth="1"/>
    <col min="13841" max="14082" width="9.140625" style="544"/>
    <col min="14083" max="14083" width="4.140625" style="544" customWidth="1"/>
    <col min="14084" max="14084" width="24.5703125" style="544" customWidth="1"/>
    <col min="14085" max="14085" width="17.7109375" style="544" bestFit="1" customWidth="1"/>
    <col min="14086" max="14086" width="12.5703125" style="544" bestFit="1" customWidth="1"/>
    <col min="14087" max="14087" width="14.5703125" style="544" bestFit="1" customWidth="1"/>
    <col min="14088" max="14088" width="17.5703125" style="544" customWidth="1"/>
    <col min="14089" max="14089" width="6.42578125" style="544" customWidth="1"/>
    <col min="14090" max="14090" width="15.5703125" style="544" bestFit="1" customWidth="1"/>
    <col min="14091" max="14091" width="17.7109375" style="544" bestFit="1" customWidth="1"/>
    <col min="14092" max="14092" width="9.140625" style="544"/>
    <col min="14093" max="14093" width="10.28515625" style="544" customWidth="1"/>
    <col min="14094" max="14094" width="9.140625" style="544"/>
    <col min="14095" max="14095" width="9.28515625" style="544" customWidth="1"/>
    <col min="14096" max="14096" width="10" style="544" customWidth="1"/>
    <col min="14097" max="14338" width="9.140625" style="544"/>
    <col min="14339" max="14339" width="4.140625" style="544" customWidth="1"/>
    <col min="14340" max="14340" width="24.5703125" style="544" customWidth="1"/>
    <col min="14341" max="14341" width="17.7109375" style="544" bestFit="1" customWidth="1"/>
    <col min="14342" max="14342" width="12.5703125" style="544" bestFit="1" customWidth="1"/>
    <col min="14343" max="14343" width="14.5703125" style="544" bestFit="1" customWidth="1"/>
    <col min="14344" max="14344" width="17.5703125" style="544" customWidth="1"/>
    <col min="14345" max="14345" width="6.42578125" style="544" customWidth="1"/>
    <col min="14346" max="14346" width="15.5703125" style="544" bestFit="1" customWidth="1"/>
    <col min="14347" max="14347" width="17.7109375" style="544" bestFit="1" customWidth="1"/>
    <col min="14348" max="14348" width="9.140625" style="544"/>
    <col min="14349" max="14349" width="10.28515625" style="544" customWidth="1"/>
    <col min="14350" max="14350" width="9.140625" style="544"/>
    <col min="14351" max="14351" width="9.28515625" style="544" customWidth="1"/>
    <col min="14352" max="14352" width="10" style="544" customWidth="1"/>
    <col min="14353" max="14594" width="9.140625" style="544"/>
    <col min="14595" max="14595" width="4.140625" style="544" customWidth="1"/>
    <col min="14596" max="14596" width="24.5703125" style="544" customWidth="1"/>
    <col min="14597" max="14597" width="17.7109375" style="544" bestFit="1" customWidth="1"/>
    <col min="14598" max="14598" width="12.5703125" style="544" bestFit="1" customWidth="1"/>
    <col min="14599" max="14599" width="14.5703125" style="544" bestFit="1" customWidth="1"/>
    <col min="14600" max="14600" width="17.5703125" style="544" customWidth="1"/>
    <col min="14601" max="14601" width="6.42578125" style="544" customWidth="1"/>
    <col min="14602" max="14602" width="15.5703125" style="544" bestFit="1" customWidth="1"/>
    <col min="14603" max="14603" width="17.7109375" style="544" bestFit="1" customWidth="1"/>
    <col min="14604" max="14604" width="9.140625" style="544"/>
    <col min="14605" max="14605" width="10.28515625" style="544" customWidth="1"/>
    <col min="14606" max="14606" width="9.140625" style="544"/>
    <col min="14607" max="14607" width="9.28515625" style="544" customWidth="1"/>
    <col min="14608" max="14608" width="10" style="544" customWidth="1"/>
    <col min="14609" max="14850" width="9.140625" style="544"/>
    <col min="14851" max="14851" width="4.140625" style="544" customWidth="1"/>
    <col min="14852" max="14852" width="24.5703125" style="544" customWidth="1"/>
    <col min="14853" max="14853" width="17.7109375" style="544" bestFit="1" customWidth="1"/>
    <col min="14854" max="14854" width="12.5703125" style="544" bestFit="1" customWidth="1"/>
    <col min="14855" max="14855" width="14.5703125" style="544" bestFit="1" customWidth="1"/>
    <col min="14856" max="14856" width="17.5703125" style="544" customWidth="1"/>
    <col min="14857" max="14857" width="6.42578125" style="544" customWidth="1"/>
    <col min="14858" max="14858" width="15.5703125" style="544" bestFit="1" customWidth="1"/>
    <col min="14859" max="14859" width="17.7109375" style="544" bestFit="1" customWidth="1"/>
    <col min="14860" max="14860" width="9.140625" style="544"/>
    <col min="14861" max="14861" width="10.28515625" style="544" customWidth="1"/>
    <col min="14862" max="14862" width="9.140625" style="544"/>
    <col min="14863" max="14863" width="9.28515625" style="544" customWidth="1"/>
    <col min="14864" max="14864" width="10" style="544" customWidth="1"/>
    <col min="14865" max="15106" width="9.140625" style="544"/>
    <col min="15107" max="15107" width="4.140625" style="544" customWidth="1"/>
    <col min="15108" max="15108" width="24.5703125" style="544" customWidth="1"/>
    <col min="15109" max="15109" width="17.7109375" style="544" bestFit="1" customWidth="1"/>
    <col min="15110" max="15110" width="12.5703125" style="544" bestFit="1" customWidth="1"/>
    <col min="15111" max="15111" width="14.5703125" style="544" bestFit="1" customWidth="1"/>
    <col min="15112" max="15112" width="17.5703125" style="544" customWidth="1"/>
    <col min="15113" max="15113" width="6.42578125" style="544" customWidth="1"/>
    <col min="15114" max="15114" width="15.5703125" style="544" bestFit="1" customWidth="1"/>
    <col min="15115" max="15115" width="17.7109375" style="544" bestFit="1" customWidth="1"/>
    <col min="15116" max="15116" width="9.140625" style="544"/>
    <col min="15117" max="15117" width="10.28515625" style="544" customWidth="1"/>
    <col min="15118" max="15118" width="9.140625" style="544"/>
    <col min="15119" max="15119" width="9.28515625" style="544" customWidth="1"/>
    <col min="15120" max="15120" width="10" style="544" customWidth="1"/>
    <col min="15121" max="15362" width="9.140625" style="544"/>
    <col min="15363" max="15363" width="4.140625" style="544" customWidth="1"/>
    <col min="15364" max="15364" width="24.5703125" style="544" customWidth="1"/>
    <col min="15365" max="15365" width="17.7109375" style="544" bestFit="1" customWidth="1"/>
    <col min="15366" max="15366" width="12.5703125" style="544" bestFit="1" customWidth="1"/>
    <col min="15367" max="15367" width="14.5703125" style="544" bestFit="1" customWidth="1"/>
    <col min="15368" max="15368" width="17.5703125" style="544" customWidth="1"/>
    <col min="15369" max="15369" width="6.42578125" style="544" customWidth="1"/>
    <col min="15370" max="15370" width="15.5703125" style="544" bestFit="1" customWidth="1"/>
    <col min="15371" max="15371" width="17.7109375" style="544" bestFit="1" customWidth="1"/>
    <col min="15372" max="15372" width="9.140625" style="544"/>
    <col min="15373" max="15373" width="10.28515625" style="544" customWidth="1"/>
    <col min="15374" max="15374" width="9.140625" style="544"/>
    <col min="15375" max="15375" width="9.28515625" style="544" customWidth="1"/>
    <col min="15376" max="15376" width="10" style="544" customWidth="1"/>
    <col min="15377" max="15618" width="9.140625" style="544"/>
    <col min="15619" max="15619" width="4.140625" style="544" customWidth="1"/>
    <col min="15620" max="15620" width="24.5703125" style="544" customWidth="1"/>
    <col min="15621" max="15621" width="17.7109375" style="544" bestFit="1" customWidth="1"/>
    <col min="15622" max="15622" width="12.5703125" style="544" bestFit="1" customWidth="1"/>
    <col min="15623" max="15623" width="14.5703125" style="544" bestFit="1" customWidth="1"/>
    <col min="15624" max="15624" width="17.5703125" style="544" customWidth="1"/>
    <col min="15625" max="15625" width="6.42578125" style="544" customWidth="1"/>
    <col min="15626" max="15626" width="15.5703125" style="544" bestFit="1" customWidth="1"/>
    <col min="15627" max="15627" width="17.7109375" style="544" bestFit="1" customWidth="1"/>
    <col min="15628" max="15628" width="9.140625" style="544"/>
    <col min="15629" max="15629" width="10.28515625" style="544" customWidth="1"/>
    <col min="15630" max="15630" width="9.140625" style="544"/>
    <col min="15631" max="15631" width="9.28515625" style="544" customWidth="1"/>
    <col min="15632" max="15632" width="10" style="544" customWidth="1"/>
    <col min="15633" max="15874" width="9.140625" style="544"/>
    <col min="15875" max="15875" width="4.140625" style="544" customWidth="1"/>
    <col min="15876" max="15876" width="24.5703125" style="544" customWidth="1"/>
    <col min="15877" max="15877" width="17.7109375" style="544" bestFit="1" customWidth="1"/>
    <col min="15878" max="15878" width="12.5703125" style="544" bestFit="1" customWidth="1"/>
    <col min="15879" max="15879" width="14.5703125" style="544" bestFit="1" customWidth="1"/>
    <col min="15880" max="15880" width="17.5703125" style="544" customWidth="1"/>
    <col min="15881" max="15881" width="6.42578125" style="544" customWidth="1"/>
    <col min="15882" max="15882" width="15.5703125" style="544" bestFit="1" customWidth="1"/>
    <col min="15883" max="15883" width="17.7109375" style="544" bestFit="1" customWidth="1"/>
    <col min="15884" max="15884" width="9.140625" style="544"/>
    <col min="15885" max="15885" width="10.28515625" style="544" customWidth="1"/>
    <col min="15886" max="15886" width="9.140625" style="544"/>
    <col min="15887" max="15887" width="9.28515625" style="544" customWidth="1"/>
    <col min="15888" max="15888" width="10" style="544" customWidth="1"/>
    <col min="15889" max="16130" width="9.140625" style="544"/>
    <col min="16131" max="16131" width="4.140625" style="544" customWidth="1"/>
    <col min="16132" max="16132" width="24.5703125" style="544" customWidth="1"/>
    <col min="16133" max="16133" width="17.7109375" style="544" bestFit="1" customWidth="1"/>
    <col min="16134" max="16134" width="12.5703125" style="544" bestFit="1" customWidth="1"/>
    <col min="16135" max="16135" width="14.5703125" style="544" bestFit="1" customWidth="1"/>
    <col min="16136" max="16136" width="17.5703125" style="544" customWidth="1"/>
    <col min="16137" max="16137" width="6.42578125" style="544" customWidth="1"/>
    <col min="16138" max="16138" width="15.5703125" style="544" bestFit="1" customWidth="1"/>
    <col min="16139" max="16139" width="17.7109375" style="544" bestFit="1" customWidth="1"/>
    <col min="16140" max="16140" width="9.140625" style="544"/>
    <col min="16141" max="16141" width="10.28515625" style="544" customWidth="1"/>
    <col min="16142" max="16142" width="9.140625" style="544"/>
    <col min="16143" max="16143" width="9.28515625" style="544" customWidth="1"/>
    <col min="16144" max="16144" width="10" style="544" customWidth="1"/>
    <col min="16145" max="16384" width="9.140625" style="544"/>
  </cols>
  <sheetData>
    <row r="1" spans="2:16" ht="15" customHeight="1">
      <c r="B1" s="1610" t="s">
        <v>822</v>
      </c>
      <c r="C1" s="1611"/>
      <c r="D1" s="1611"/>
      <c r="E1" s="1611"/>
      <c r="F1" s="1611"/>
      <c r="G1" s="1611"/>
      <c r="H1" s="1611"/>
      <c r="I1" s="1611"/>
      <c r="J1" s="1611"/>
      <c r="K1" s="1612"/>
    </row>
    <row r="2" spans="2:16" ht="15" customHeight="1" thickBot="1">
      <c r="B2" s="1613" t="s">
        <v>60</v>
      </c>
      <c r="C2" s="1614"/>
      <c r="D2" s="1614"/>
      <c r="E2" s="1614"/>
      <c r="F2" s="1614"/>
      <c r="G2" s="1614"/>
      <c r="H2" s="1614"/>
      <c r="I2" s="1614"/>
      <c r="J2" s="1614"/>
      <c r="K2" s="1615"/>
    </row>
    <row r="3" spans="2:16" ht="15.75" customHeight="1">
      <c r="B3" s="44"/>
      <c r="C3" s="44"/>
      <c r="D3" s="44"/>
      <c r="E3" s="44"/>
      <c r="F3" s="44"/>
      <c r="G3" s="44"/>
      <c r="H3" s="44"/>
      <c r="I3" s="44"/>
      <c r="J3" s="550"/>
      <c r="K3" s="543"/>
    </row>
    <row r="4" spans="2:16" ht="15.75" customHeight="1">
      <c r="B4" s="44"/>
      <c r="C4" s="44"/>
      <c r="D4" s="44"/>
      <c r="E4" s="44"/>
      <c r="F4" s="44"/>
      <c r="G4" s="44"/>
      <c r="H4" s="44"/>
      <c r="I4" s="44"/>
      <c r="J4" s="550"/>
      <c r="K4" s="543"/>
    </row>
    <row r="5" spans="2:16" ht="15.75" thickBot="1"/>
    <row r="6" spans="2:16" ht="15" customHeight="1">
      <c r="B6" s="555" t="s">
        <v>915</v>
      </c>
      <c r="C6" s="1608" t="s">
        <v>897</v>
      </c>
      <c r="D6" s="1608"/>
      <c r="E6" s="1608"/>
      <c r="F6" s="1608"/>
      <c r="G6" s="1608"/>
      <c r="H6" s="1608"/>
      <c r="I6" s="1608"/>
      <c r="J6" s="1608"/>
      <c r="K6" s="1609"/>
    </row>
    <row r="7" spans="2:16" ht="15" customHeight="1">
      <c r="B7" s="570" t="s">
        <v>855</v>
      </c>
      <c r="C7" s="556" t="s">
        <v>856</v>
      </c>
      <c r="D7" s="557" t="s">
        <v>857</v>
      </c>
      <c r="E7" s="1604" t="s">
        <v>82</v>
      </c>
      <c r="F7" s="1605"/>
      <c r="G7" s="566" t="s">
        <v>869</v>
      </c>
      <c r="H7" s="557" t="s">
        <v>43</v>
      </c>
      <c r="I7" s="1606" t="s">
        <v>838</v>
      </c>
      <c r="J7" s="1607"/>
      <c r="K7" s="571" t="s">
        <v>858</v>
      </c>
    </row>
    <row r="8" spans="2:16" ht="15.75" customHeight="1">
      <c r="B8" s="572"/>
      <c r="C8" s="558"/>
      <c r="D8" s="559" t="s">
        <v>881</v>
      </c>
      <c r="E8" s="560" t="s">
        <v>859</v>
      </c>
      <c r="F8" s="554" t="s">
        <v>860</v>
      </c>
      <c r="G8" s="560"/>
      <c r="H8" s="559" t="s">
        <v>25</v>
      </c>
      <c r="I8" s="560" t="s">
        <v>861</v>
      </c>
      <c r="J8" s="561" t="s">
        <v>43</v>
      </c>
      <c r="K8" s="573" t="s">
        <v>882</v>
      </c>
    </row>
    <row r="9" spans="2:16">
      <c r="B9" s="574"/>
      <c r="C9" s="562"/>
      <c r="D9" s="551"/>
      <c r="E9" s="551"/>
      <c r="F9" s="551"/>
      <c r="G9" s="551"/>
      <c r="H9" s="551"/>
      <c r="I9" s="552"/>
      <c r="J9" s="563"/>
      <c r="K9" s="575"/>
    </row>
    <row r="10" spans="2:16">
      <c r="B10" s="574">
        <v>1</v>
      </c>
      <c r="C10" s="562" t="s">
        <v>864</v>
      </c>
      <c r="D10" s="600">
        <f>'Master FA 2014-15 revised'!K22</f>
        <v>562431</v>
      </c>
      <c r="E10" s="551">
        <v>411804</v>
      </c>
      <c r="F10" s="551">
        <v>10023</v>
      </c>
      <c r="G10" s="551">
        <v>0</v>
      </c>
      <c r="H10" s="568">
        <f t="shared" ref="H10:H16" si="0">(D10+E10+F10)-G10</f>
        <v>984258</v>
      </c>
      <c r="I10" s="581"/>
      <c r="J10" s="594">
        <v>783262</v>
      </c>
      <c r="K10" s="576">
        <f t="shared" ref="K10:K16" si="1">H10-J10</f>
        <v>200996</v>
      </c>
      <c r="M10" s="545"/>
      <c r="N10" s="546"/>
      <c r="P10" s="547"/>
    </row>
    <row r="11" spans="2:16">
      <c r="B11" s="574">
        <v>2</v>
      </c>
      <c r="C11" s="562" t="s">
        <v>873</v>
      </c>
      <c r="D11" s="600">
        <f>'Master FA 2014-15 revised'!K23</f>
        <v>448616</v>
      </c>
      <c r="E11" s="551">
        <v>1750</v>
      </c>
      <c r="F11" s="551">
        <v>0</v>
      </c>
      <c r="G11" s="551">
        <v>0</v>
      </c>
      <c r="H11" s="568">
        <f t="shared" si="0"/>
        <v>450366</v>
      </c>
      <c r="I11" s="581"/>
      <c r="J11" s="594">
        <v>182877</v>
      </c>
      <c r="K11" s="576">
        <f t="shared" si="1"/>
        <v>267489</v>
      </c>
      <c r="M11" s="548"/>
      <c r="N11" s="546"/>
      <c r="P11" s="547"/>
    </row>
    <row r="12" spans="2:16">
      <c r="B12" s="574">
        <v>3</v>
      </c>
      <c r="C12" s="562" t="s">
        <v>865</v>
      </c>
      <c r="D12" s="600">
        <f>'Master FA 2014-15 revised'!K24</f>
        <v>3500640</v>
      </c>
      <c r="E12" s="551">
        <v>0</v>
      </c>
      <c r="F12" s="551">
        <v>0</v>
      </c>
      <c r="G12" s="551">
        <v>0</v>
      </c>
      <c r="H12" s="568">
        <f t="shared" si="0"/>
        <v>3500640</v>
      </c>
      <c r="I12" s="581"/>
      <c r="J12" s="594">
        <v>0</v>
      </c>
      <c r="K12" s="576">
        <f t="shared" si="1"/>
        <v>3500640</v>
      </c>
      <c r="M12" s="548"/>
      <c r="N12" s="546"/>
      <c r="P12" s="547"/>
    </row>
    <row r="13" spans="2:16">
      <c r="B13" s="574">
        <v>4</v>
      </c>
      <c r="C13" s="562" t="s">
        <v>874</v>
      </c>
      <c r="D13" s="600">
        <f>'Master FA 2014-15 revised'!K25</f>
        <v>158110.45000000001</v>
      </c>
      <c r="E13" s="551">
        <v>45780</v>
      </c>
      <c r="F13" s="551">
        <v>99402</v>
      </c>
      <c r="G13" s="551">
        <v>1469</v>
      </c>
      <c r="H13" s="568">
        <f t="shared" si="0"/>
        <v>301823.45</v>
      </c>
      <c r="I13" s="581"/>
      <c r="J13" s="594">
        <v>161697</v>
      </c>
      <c r="K13" s="576">
        <f t="shared" si="1"/>
        <v>140126.45000000001</v>
      </c>
      <c r="M13" s="548"/>
      <c r="N13" s="546"/>
      <c r="P13" s="547"/>
    </row>
    <row r="14" spans="2:16">
      <c r="B14" s="574"/>
      <c r="C14" s="562"/>
      <c r="D14" s="600"/>
      <c r="E14" s="551"/>
      <c r="F14" s="551"/>
      <c r="G14" s="551"/>
      <c r="H14" s="568">
        <f t="shared" si="0"/>
        <v>0</v>
      </c>
      <c r="I14" s="581"/>
      <c r="J14" s="594">
        <f>ROUND(((D14+E14)*I14)+(F14*I14/2),0)</f>
        <v>0</v>
      </c>
      <c r="K14" s="576">
        <f t="shared" si="1"/>
        <v>0</v>
      </c>
      <c r="M14" s="548"/>
      <c r="N14" s="546"/>
      <c r="P14" s="547"/>
    </row>
    <row r="15" spans="2:16">
      <c r="B15" s="574"/>
      <c r="C15" s="562"/>
      <c r="D15" s="600"/>
      <c r="E15" s="551"/>
      <c r="F15" s="551"/>
      <c r="G15" s="551"/>
      <c r="H15" s="568">
        <f t="shared" si="0"/>
        <v>0</v>
      </c>
      <c r="I15" s="581"/>
      <c r="J15" s="594">
        <f>ROUND(((D15+E15)*I15)+(F15*I15/2),0)</f>
        <v>0</v>
      </c>
      <c r="K15" s="576">
        <f t="shared" si="1"/>
        <v>0</v>
      </c>
      <c r="M15" s="548"/>
      <c r="N15" s="546"/>
      <c r="P15" s="547"/>
    </row>
    <row r="16" spans="2:16">
      <c r="B16" s="574"/>
      <c r="C16" s="562"/>
      <c r="D16" s="600"/>
      <c r="E16" s="551"/>
      <c r="F16" s="551"/>
      <c r="G16" s="551"/>
      <c r="H16" s="568">
        <f t="shared" si="0"/>
        <v>0</v>
      </c>
      <c r="I16" s="581"/>
      <c r="J16" s="594">
        <f>ROUND(((D16+E16)*I16)+(F16*I16/2),0)</f>
        <v>0</v>
      </c>
      <c r="K16" s="576">
        <f t="shared" si="1"/>
        <v>0</v>
      </c>
    </row>
    <row r="17" spans="2:11" ht="15.75" thickBot="1">
      <c r="B17" s="577"/>
      <c r="C17" s="578" t="s">
        <v>826</v>
      </c>
      <c r="D17" s="589">
        <f>SUM(D9:D16)</f>
        <v>4669797.45</v>
      </c>
      <c r="E17" s="579">
        <f>SUM(E9:E16)</f>
        <v>459334</v>
      </c>
      <c r="F17" s="579">
        <f>SUM(F9:F16)</f>
        <v>109425</v>
      </c>
      <c r="G17" s="579">
        <f>SUM(G9:G16)</f>
        <v>1469</v>
      </c>
      <c r="H17" s="579">
        <f>SUM(H9:H16)</f>
        <v>5237087.45</v>
      </c>
      <c r="I17" s="579"/>
      <c r="J17" s="596">
        <f>SUM(J9:J16)</f>
        <v>1127836</v>
      </c>
      <c r="K17" s="580">
        <f>SUM(K9:K16)</f>
        <v>4109251.45</v>
      </c>
    </row>
  </sheetData>
  <mergeCells count="5">
    <mergeCell ref="E7:F7"/>
    <mergeCell ref="I7:J7"/>
    <mergeCell ref="C6:K6"/>
    <mergeCell ref="B1:K1"/>
    <mergeCell ref="B2:K2"/>
  </mergeCells>
  <pageMargins left="0.74803149606299213" right="0.74803149606299213" top="0.98425196850393704" bottom="0.98425196850393704" header="0.51181102362204722" footer="0.51181102362204722"/>
  <pageSetup scale="90"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B1:P66"/>
  <sheetViews>
    <sheetView workbookViewId="0">
      <pane xSplit="2" ySplit="7" topLeftCell="C44" activePane="bottomRight" state="frozen"/>
      <selection pane="topRight" activeCell="B1" sqref="B1"/>
      <selection pane="bottomLeft" activeCell="A6" sqref="A6"/>
      <selection pane="bottomRight" activeCell="J68" sqref="J68"/>
    </sheetView>
  </sheetViews>
  <sheetFormatPr defaultRowHeight="15"/>
  <cols>
    <col min="1" max="1" width="5.85546875" style="544" customWidth="1"/>
    <col min="2" max="2" width="8" style="544" customWidth="1"/>
    <col min="3" max="3" width="18.5703125" style="544" customWidth="1"/>
    <col min="4" max="4" width="15.42578125" style="549" bestFit="1" customWidth="1"/>
    <col min="5" max="5" width="12.5703125" style="549" bestFit="1" customWidth="1"/>
    <col min="6" max="6" width="15.5703125" style="549" customWidth="1"/>
    <col min="7" max="7" width="12.140625" style="549" customWidth="1"/>
    <col min="8" max="8" width="14.85546875" style="549" customWidth="1"/>
    <col min="9" max="9" width="6.42578125" style="549" customWidth="1"/>
    <col min="10" max="10" width="15.7109375" style="549" bestFit="1" customWidth="1"/>
    <col min="11" max="11" width="15" style="549" customWidth="1"/>
    <col min="12" max="12" width="9.140625" style="544"/>
    <col min="13" max="13" width="10.28515625" style="544" customWidth="1"/>
    <col min="14" max="14" width="9.140625" style="544"/>
    <col min="15" max="15" width="9.28515625" style="544" customWidth="1"/>
    <col min="16" max="16" width="10" style="544" customWidth="1"/>
    <col min="17" max="258" width="9.140625" style="544"/>
    <col min="259" max="259" width="4.140625" style="544" customWidth="1"/>
    <col min="260" max="260" width="24.5703125" style="544" customWidth="1"/>
    <col min="261" max="261" width="17.7109375" style="544" bestFit="1" customWidth="1"/>
    <col min="262" max="262" width="12.5703125" style="544" bestFit="1" customWidth="1"/>
    <col min="263" max="263" width="14.5703125" style="544" bestFit="1" customWidth="1"/>
    <col min="264" max="264" width="17.5703125" style="544" customWidth="1"/>
    <col min="265" max="265" width="6.42578125" style="544" customWidth="1"/>
    <col min="266" max="266" width="15.5703125" style="544" bestFit="1" customWidth="1"/>
    <col min="267" max="267" width="17.7109375" style="544" bestFit="1" customWidth="1"/>
    <col min="268" max="268" width="9.140625" style="544"/>
    <col min="269" max="269" width="10.28515625" style="544" customWidth="1"/>
    <col min="270" max="270" width="9.140625" style="544"/>
    <col min="271" max="271" width="9.28515625" style="544" customWidth="1"/>
    <col min="272" max="272" width="10" style="544" customWidth="1"/>
    <col min="273" max="514" width="9.140625" style="544"/>
    <col min="515" max="515" width="4.140625" style="544" customWidth="1"/>
    <col min="516" max="516" width="24.5703125" style="544" customWidth="1"/>
    <col min="517" max="517" width="17.7109375" style="544" bestFit="1" customWidth="1"/>
    <col min="518" max="518" width="12.5703125" style="544" bestFit="1" customWidth="1"/>
    <col min="519" max="519" width="14.5703125" style="544" bestFit="1" customWidth="1"/>
    <col min="520" max="520" width="17.5703125" style="544" customWidth="1"/>
    <col min="521" max="521" width="6.42578125" style="544" customWidth="1"/>
    <col min="522" max="522" width="15.5703125" style="544" bestFit="1" customWidth="1"/>
    <col min="523" max="523" width="17.7109375" style="544" bestFit="1" customWidth="1"/>
    <col min="524" max="524" width="9.140625" style="544"/>
    <col min="525" max="525" width="10.28515625" style="544" customWidth="1"/>
    <col min="526" max="526" width="9.140625" style="544"/>
    <col min="527" max="527" width="9.28515625" style="544" customWidth="1"/>
    <col min="528" max="528" width="10" style="544" customWidth="1"/>
    <col min="529" max="770" width="9.140625" style="544"/>
    <col min="771" max="771" width="4.140625" style="544" customWidth="1"/>
    <col min="772" max="772" width="24.5703125" style="544" customWidth="1"/>
    <col min="773" max="773" width="17.7109375" style="544" bestFit="1" customWidth="1"/>
    <col min="774" max="774" width="12.5703125" style="544" bestFit="1" customWidth="1"/>
    <col min="775" max="775" width="14.5703125" style="544" bestFit="1" customWidth="1"/>
    <col min="776" max="776" width="17.5703125" style="544" customWidth="1"/>
    <col min="777" max="777" width="6.42578125" style="544" customWidth="1"/>
    <col min="778" max="778" width="15.5703125" style="544" bestFit="1" customWidth="1"/>
    <col min="779" max="779" width="17.7109375" style="544" bestFit="1" customWidth="1"/>
    <col min="780" max="780" width="9.140625" style="544"/>
    <col min="781" max="781" width="10.28515625" style="544" customWidth="1"/>
    <col min="782" max="782" width="9.140625" style="544"/>
    <col min="783" max="783" width="9.28515625" style="544" customWidth="1"/>
    <col min="784" max="784" width="10" style="544" customWidth="1"/>
    <col min="785" max="1026" width="9.140625" style="544"/>
    <col min="1027" max="1027" width="4.140625" style="544" customWidth="1"/>
    <col min="1028" max="1028" width="24.5703125" style="544" customWidth="1"/>
    <col min="1029" max="1029" width="17.7109375" style="544" bestFit="1" customWidth="1"/>
    <col min="1030" max="1030" width="12.5703125" style="544" bestFit="1" customWidth="1"/>
    <col min="1031" max="1031" width="14.5703125" style="544" bestFit="1" customWidth="1"/>
    <col min="1032" max="1032" width="17.5703125" style="544" customWidth="1"/>
    <col min="1033" max="1033" width="6.42578125" style="544" customWidth="1"/>
    <col min="1034" max="1034" width="15.5703125" style="544" bestFit="1" customWidth="1"/>
    <col min="1035" max="1035" width="17.7109375" style="544" bestFit="1" customWidth="1"/>
    <col min="1036" max="1036" width="9.140625" style="544"/>
    <col min="1037" max="1037" width="10.28515625" style="544" customWidth="1"/>
    <col min="1038" max="1038" width="9.140625" style="544"/>
    <col min="1039" max="1039" width="9.28515625" style="544" customWidth="1"/>
    <col min="1040" max="1040" width="10" style="544" customWidth="1"/>
    <col min="1041" max="1282" width="9.140625" style="544"/>
    <col min="1283" max="1283" width="4.140625" style="544" customWidth="1"/>
    <col min="1284" max="1284" width="24.5703125" style="544" customWidth="1"/>
    <col min="1285" max="1285" width="17.7109375" style="544" bestFit="1" customWidth="1"/>
    <col min="1286" max="1286" width="12.5703125" style="544" bestFit="1" customWidth="1"/>
    <col min="1287" max="1287" width="14.5703125" style="544" bestFit="1" customWidth="1"/>
    <col min="1288" max="1288" width="17.5703125" style="544" customWidth="1"/>
    <col min="1289" max="1289" width="6.42578125" style="544" customWidth="1"/>
    <col min="1290" max="1290" width="15.5703125" style="544" bestFit="1" customWidth="1"/>
    <col min="1291" max="1291" width="17.7109375" style="544" bestFit="1" customWidth="1"/>
    <col min="1292" max="1292" width="9.140625" style="544"/>
    <col min="1293" max="1293" width="10.28515625" style="544" customWidth="1"/>
    <col min="1294" max="1294" width="9.140625" style="544"/>
    <col min="1295" max="1295" width="9.28515625" style="544" customWidth="1"/>
    <col min="1296" max="1296" width="10" style="544" customWidth="1"/>
    <col min="1297" max="1538" width="9.140625" style="544"/>
    <col min="1539" max="1539" width="4.140625" style="544" customWidth="1"/>
    <col min="1540" max="1540" width="24.5703125" style="544" customWidth="1"/>
    <col min="1541" max="1541" width="17.7109375" style="544" bestFit="1" customWidth="1"/>
    <col min="1542" max="1542" width="12.5703125" style="544" bestFit="1" customWidth="1"/>
    <col min="1543" max="1543" width="14.5703125" style="544" bestFit="1" customWidth="1"/>
    <col min="1544" max="1544" width="17.5703125" style="544" customWidth="1"/>
    <col min="1545" max="1545" width="6.42578125" style="544" customWidth="1"/>
    <col min="1546" max="1546" width="15.5703125" style="544" bestFit="1" customWidth="1"/>
    <col min="1547" max="1547" width="17.7109375" style="544" bestFit="1" customWidth="1"/>
    <col min="1548" max="1548" width="9.140625" style="544"/>
    <col min="1549" max="1549" width="10.28515625" style="544" customWidth="1"/>
    <col min="1550" max="1550" width="9.140625" style="544"/>
    <col min="1551" max="1551" width="9.28515625" style="544" customWidth="1"/>
    <col min="1552" max="1552" width="10" style="544" customWidth="1"/>
    <col min="1553" max="1794" width="9.140625" style="544"/>
    <col min="1795" max="1795" width="4.140625" style="544" customWidth="1"/>
    <col min="1796" max="1796" width="24.5703125" style="544" customWidth="1"/>
    <col min="1797" max="1797" width="17.7109375" style="544" bestFit="1" customWidth="1"/>
    <col min="1798" max="1798" width="12.5703125" style="544" bestFit="1" customWidth="1"/>
    <col min="1799" max="1799" width="14.5703125" style="544" bestFit="1" customWidth="1"/>
    <col min="1800" max="1800" width="17.5703125" style="544" customWidth="1"/>
    <col min="1801" max="1801" width="6.42578125" style="544" customWidth="1"/>
    <col min="1802" max="1802" width="15.5703125" style="544" bestFit="1" customWidth="1"/>
    <col min="1803" max="1803" width="17.7109375" style="544" bestFit="1" customWidth="1"/>
    <col min="1804" max="1804" width="9.140625" style="544"/>
    <col min="1805" max="1805" width="10.28515625" style="544" customWidth="1"/>
    <col min="1806" max="1806" width="9.140625" style="544"/>
    <col min="1807" max="1807" width="9.28515625" style="544" customWidth="1"/>
    <col min="1808" max="1808" width="10" style="544" customWidth="1"/>
    <col min="1809" max="2050" width="9.140625" style="544"/>
    <col min="2051" max="2051" width="4.140625" style="544" customWidth="1"/>
    <col min="2052" max="2052" width="24.5703125" style="544" customWidth="1"/>
    <col min="2053" max="2053" width="17.7109375" style="544" bestFit="1" customWidth="1"/>
    <col min="2054" max="2054" width="12.5703125" style="544" bestFit="1" customWidth="1"/>
    <col min="2055" max="2055" width="14.5703125" style="544" bestFit="1" customWidth="1"/>
    <col min="2056" max="2056" width="17.5703125" style="544" customWidth="1"/>
    <col min="2057" max="2057" width="6.42578125" style="544" customWidth="1"/>
    <col min="2058" max="2058" width="15.5703125" style="544" bestFit="1" customWidth="1"/>
    <col min="2059" max="2059" width="17.7109375" style="544" bestFit="1" customWidth="1"/>
    <col min="2060" max="2060" width="9.140625" style="544"/>
    <col min="2061" max="2061" width="10.28515625" style="544" customWidth="1"/>
    <col min="2062" max="2062" width="9.140625" style="544"/>
    <col min="2063" max="2063" width="9.28515625" style="544" customWidth="1"/>
    <col min="2064" max="2064" width="10" style="544" customWidth="1"/>
    <col min="2065" max="2306" width="9.140625" style="544"/>
    <col min="2307" max="2307" width="4.140625" style="544" customWidth="1"/>
    <col min="2308" max="2308" width="24.5703125" style="544" customWidth="1"/>
    <col min="2309" max="2309" width="17.7109375" style="544" bestFit="1" customWidth="1"/>
    <col min="2310" max="2310" width="12.5703125" style="544" bestFit="1" customWidth="1"/>
    <col min="2311" max="2311" width="14.5703125" style="544" bestFit="1" customWidth="1"/>
    <col min="2312" max="2312" width="17.5703125" style="544" customWidth="1"/>
    <col min="2313" max="2313" width="6.42578125" style="544" customWidth="1"/>
    <col min="2314" max="2314" width="15.5703125" style="544" bestFit="1" customWidth="1"/>
    <col min="2315" max="2315" width="17.7109375" style="544" bestFit="1" customWidth="1"/>
    <col min="2316" max="2316" width="9.140625" style="544"/>
    <col min="2317" max="2317" width="10.28515625" style="544" customWidth="1"/>
    <col min="2318" max="2318" width="9.140625" style="544"/>
    <col min="2319" max="2319" width="9.28515625" style="544" customWidth="1"/>
    <col min="2320" max="2320" width="10" style="544" customWidth="1"/>
    <col min="2321" max="2562" width="9.140625" style="544"/>
    <col min="2563" max="2563" width="4.140625" style="544" customWidth="1"/>
    <col min="2564" max="2564" width="24.5703125" style="544" customWidth="1"/>
    <col min="2565" max="2565" width="17.7109375" style="544" bestFit="1" customWidth="1"/>
    <col min="2566" max="2566" width="12.5703125" style="544" bestFit="1" customWidth="1"/>
    <col min="2567" max="2567" width="14.5703125" style="544" bestFit="1" customWidth="1"/>
    <col min="2568" max="2568" width="17.5703125" style="544" customWidth="1"/>
    <col min="2569" max="2569" width="6.42578125" style="544" customWidth="1"/>
    <col min="2570" max="2570" width="15.5703125" style="544" bestFit="1" customWidth="1"/>
    <col min="2571" max="2571" width="17.7109375" style="544" bestFit="1" customWidth="1"/>
    <col min="2572" max="2572" width="9.140625" style="544"/>
    <col min="2573" max="2573" width="10.28515625" style="544" customWidth="1"/>
    <col min="2574" max="2574" width="9.140625" style="544"/>
    <col min="2575" max="2575" width="9.28515625" style="544" customWidth="1"/>
    <col min="2576" max="2576" width="10" style="544" customWidth="1"/>
    <col min="2577" max="2818" width="9.140625" style="544"/>
    <col min="2819" max="2819" width="4.140625" style="544" customWidth="1"/>
    <col min="2820" max="2820" width="24.5703125" style="544" customWidth="1"/>
    <col min="2821" max="2821" width="17.7109375" style="544" bestFit="1" customWidth="1"/>
    <col min="2822" max="2822" width="12.5703125" style="544" bestFit="1" customWidth="1"/>
    <col min="2823" max="2823" width="14.5703125" style="544" bestFit="1" customWidth="1"/>
    <col min="2824" max="2824" width="17.5703125" style="544" customWidth="1"/>
    <col min="2825" max="2825" width="6.42578125" style="544" customWidth="1"/>
    <col min="2826" max="2826" width="15.5703125" style="544" bestFit="1" customWidth="1"/>
    <col min="2827" max="2827" width="17.7109375" style="544" bestFit="1" customWidth="1"/>
    <col min="2828" max="2828" width="9.140625" style="544"/>
    <col min="2829" max="2829" width="10.28515625" style="544" customWidth="1"/>
    <col min="2830" max="2830" width="9.140625" style="544"/>
    <col min="2831" max="2831" width="9.28515625" style="544" customWidth="1"/>
    <col min="2832" max="2832" width="10" style="544" customWidth="1"/>
    <col min="2833" max="3074" width="9.140625" style="544"/>
    <col min="3075" max="3075" width="4.140625" style="544" customWidth="1"/>
    <col min="3076" max="3076" width="24.5703125" style="544" customWidth="1"/>
    <col min="3077" max="3077" width="17.7109375" style="544" bestFit="1" customWidth="1"/>
    <col min="3078" max="3078" width="12.5703125" style="544" bestFit="1" customWidth="1"/>
    <col min="3079" max="3079" width="14.5703125" style="544" bestFit="1" customWidth="1"/>
    <col min="3080" max="3080" width="17.5703125" style="544" customWidth="1"/>
    <col min="3081" max="3081" width="6.42578125" style="544" customWidth="1"/>
    <col min="3082" max="3082" width="15.5703125" style="544" bestFit="1" customWidth="1"/>
    <col min="3083" max="3083" width="17.7109375" style="544" bestFit="1" customWidth="1"/>
    <col min="3084" max="3084" width="9.140625" style="544"/>
    <col min="3085" max="3085" width="10.28515625" style="544" customWidth="1"/>
    <col min="3086" max="3086" width="9.140625" style="544"/>
    <col min="3087" max="3087" width="9.28515625" style="544" customWidth="1"/>
    <col min="3088" max="3088" width="10" style="544" customWidth="1"/>
    <col min="3089" max="3330" width="9.140625" style="544"/>
    <col min="3331" max="3331" width="4.140625" style="544" customWidth="1"/>
    <col min="3332" max="3332" width="24.5703125" style="544" customWidth="1"/>
    <col min="3333" max="3333" width="17.7109375" style="544" bestFit="1" customWidth="1"/>
    <col min="3334" max="3334" width="12.5703125" style="544" bestFit="1" customWidth="1"/>
    <col min="3335" max="3335" width="14.5703125" style="544" bestFit="1" customWidth="1"/>
    <col min="3336" max="3336" width="17.5703125" style="544" customWidth="1"/>
    <col min="3337" max="3337" width="6.42578125" style="544" customWidth="1"/>
    <col min="3338" max="3338" width="15.5703125" style="544" bestFit="1" customWidth="1"/>
    <col min="3339" max="3339" width="17.7109375" style="544" bestFit="1" customWidth="1"/>
    <col min="3340" max="3340" width="9.140625" style="544"/>
    <col min="3341" max="3341" width="10.28515625" style="544" customWidth="1"/>
    <col min="3342" max="3342" width="9.140625" style="544"/>
    <col min="3343" max="3343" width="9.28515625" style="544" customWidth="1"/>
    <col min="3344" max="3344" width="10" style="544" customWidth="1"/>
    <col min="3345" max="3586" width="9.140625" style="544"/>
    <col min="3587" max="3587" width="4.140625" style="544" customWidth="1"/>
    <col min="3588" max="3588" width="24.5703125" style="544" customWidth="1"/>
    <col min="3589" max="3589" width="17.7109375" style="544" bestFit="1" customWidth="1"/>
    <col min="3590" max="3590" width="12.5703125" style="544" bestFit="1" customWidth="1"/>
    <col min="3591" max="3591" width="14.5703125" style="544" bestFit="1" customWidth="1"/>
    <col min="3592" max="3592" width="17.5703125" style="544" customWidth="1"/>
    <col min="3593" max="3593" width="6.42578125" style="544" customWidth="1"/>
    <col min="3594" max="3594" width="15.5703125" style="544" bestFit="1" customWidth="1"/>
    <col min="3595" max="3595" width="17.7109375" style="544" bestFit="1" customWidth="1"/>
    <col min="3596" max="3596" width="9.140625" style="544"/>
    <col min="3597" max="3597" width="10.28515625" style="544" customWidth="1"/>
    <col min="3598" max="3598" width="9.140625" style="544"/>
    <col min="3599" max="3599" width="9.28515625" style="544" customWidth="1"/>
    <col min="3600" max="3600" width="10" style="544" customWidth="1"/>
    <col min="3601" max="3842" width="9.140625" style="544"/>
    <col min="3843" max="3843" width="4.140625" style="544" customWidth="1"/>
    <col min="3844" max="3844" width="24.5703125" style="544" customWidth="1"/>
    <col min="3845" max="3845" width="17.7109375" style="544" bestFit="1" customWidth="1"/>
    <col min="3846" max="3846" width="12.5703125" style="544" bestFit="1" customWidth="1"/>
    <col min="3847" max="3847" width="14.5703125" style="544" bestFit="1" customWidth="1"/>
    <col min="3848" max="3848" width="17.5703125" style="544" customWidth="1"/>
    <col min="3849" max="3849" width="6.42578125" style="544" customWidth="1"/>
    <col min="3850" max="3850" width="15.5703125" style="544" bestFit="1" customWidth="1"/>
    <col min="3851" max="3851" width="17.7109375" style="544" bestFit="1" customWidth="1"/>
    <col min="3852" max="3852" width="9.140625" style="544"/>
    <col min="3853" max="3853" width="10.28515625" style="544" customWidth="1"/>
    <col min="3854" max="3854" width="9.140625" style="544"/>
    <col min="3855" max="3855" width="9.28515625" style="544" customWidth="1"/>
    <col min="3856" max="3856" width="10" style="544" customWidth="1"/>
    <col min="3857" max="4098" width="9.140625" style="544"/>
    <col min="4099" max="4099" width="4.140625" style="544" customWidth="1"/>
    <col min="4100" max="4100" width="24.5703125" style="544" customWidth="1"/>
    <col min="4101" max="4101" width="17.7109375" style="544" bestFit="1" customWidth="1"/>
    <col min="4102" max="4102" width="12.5703125" style="544" bestFit="1" customWidth="1"/>
    <col min="4103" max="4103" width="14.5703125" style="544" bestFit="1" customWidth="1"/>
    <col min="4104" max="4104" width="17.5703125" style="544" customWidth="1"/>
    <col min="4105" max="4105" width="6.42578125" style="544" customWidth="1"/>
    <col min="4106" max="4106" width="15.5703125" style="544" bestFit="1" customWidth="1"/>
    <col min="4107" max="4107" width="17.7109375" style="544" bestFit="1" customWidth="1"/>
    <col min="4108" max="4108" width="9.140625" style="544"/>
    <col min="4109" max="4109" width="10.28515625" style="544" customWidth="1"/>
    <col min="4110" max="4110" width="9.140625" style="544"/>
    <col min="4111" max="4111" width="9.28515625" style="544" customWidth="1"/>
    <col min="4112" max="4112" width="10" style="544" customWidth="1"/>
    <col min="4113" max="4354" width="9.140625" style="544"/>
    <col min="4355" max="4355" width="4.140625" style="544" customWidth="1"/>
    <col min="4356" max="4356" width="24.5703125" style="544" customWidth="1"/>
    <col min="4357" max="4357" width="17.7109375" style="544" bestFit="1" customWidth="1"/>
    <col min="4358" max="4358" width="12.5703125" style="544" bestFit="1" customWidth="1"/>
    <col min="4359" max="4359" width="14.5703125" style="544" bestFit="1" customWidth="1"/>
    <col min="4360" max="4360" width="17.5703125" style="544" customWidth="1"/>
    <col min="4361" max="4361" width="6.42578125" style="544" customWidth="1"/>
    <col min="4362" max="4362" width="15.5703125" style="544" bestFit="1" customWidth="1"/>
    <col min="4363" max="4363" width="17.7109375" style="544" bestFit="1" customWidth="1"/>
    <col min="4364" max="4364" width="9.140625" style="544"/>
    <col min="4365" max="4365" width="10.28515625" style="544" customWidth="1"/>
    <col min="4366" max="4366" width="9.140625" style="544"/>
    <col min="4367" max="4367" width="9.28515625" style="544" customWidth="1"/>
    <col min="4368" max="4368" width="10" style="544" customWidth="1"/>
    <col min="4369" max="4610" width="9.140625" style="544"/>
    <col min="4611" max="4611" width="4.140625" style="544" customWidth="1"/>
    <col min="4612" max="4612" width="24.5703125" style="544" customWidth="1"/>
    <col min="4613" max="4613" width="17.7109375" style="544" bestFit="1" customWidth="1"/>
    <col min="4614" max="4614" width="12.5703125" style="544" bestFit="1" customWidth="1"/>
    <col min="4615" max="4615" width="14.5703125" style="544" bestFit="1" customWidth="1"/>
    <col min="4616" max="4616" width="17.5703125" style="544" customWidth="1"/>
    <col min="4617" max="4617" width="6.42578125" style="544" customWidth="1"/>
    <col min="4618" max="4618" width="15.5703125" style="544" bestFit="1" customWidth="1"/>
    <col min="4619" max="4619" width="17.7109375" style="544" bestFit="1" customWidth="1"/>
    <col min="4620" max="4620" width="9.140625" style="544"/>
    <col min="4621" max="4621" width="10.28515625" style="544" customWidth="1"/>
    <col min="4622" max="4622" width="9.140625" style="544"/>
    <col min="4623" max="4623" width="9.28515625" style="544" customWidth="1"/>
    <col min="4624" max="4624" width="10" style="544" customWidth="1"/>
    <col min="4625" max="4866" width="9.140625" style="544"/>
    <col min="4867" max="4867" width="4.140625" style="544" customWidth="1"/>
    <col min="4868" max="4868" width="24.5703125" style="544" customWidth="1"/>
    <col min="4869" max="4869" width="17.7109375" style="544" bestFit="1" customWidth="1"/>
    <col min="4870" max="4870" width="12.5703125" style="544" bestFit="1" customWidth="1"/>
    <col min="4871" max="4871" width="14.5703125" style="544" bestFit="1" customWidth="1"/>
    <col min="4872" max="4872" width="17.5703125" style="544" customWidth="1"/>
    <col min="4873" max="4873" width="6.42578125" style="544" customWidth="1"/>
    <col min="4874" max="4874" width="15.5703125" style="544" bestFit="1" customWidth="1"/>
    <col min="4875" max="4875" width="17.7109375" style="544" bestFit="1" customWidth="1"/>
    <col min="4876" max="4876" width="9.140625" style="544"/>
    <col min="4877" max="4877" width="10.28515625" style="544" customWidth="1"/>
    <col min="4878" max="4878" width="9.140625" style="544"/>
    <col min="4879" max="4879" width="9.28515625" style="544" customWidth="1"/>
    <col min="4880" max="4880" width="10" style="544" customWidth="1"/>
    <col min="4881" max="5122" width="9.140625" style="544"/>
    <col min="5123" max="5123" width="4.140625" style="544" customWidth="1"/>
    <col min="5124" max="5124" width="24.5703125" style="544" customWidth="1"/>
    <col min="5125" max="5125" width="17.7109375" style="544" bestFit="1" customWidth="1"/>
    <col min="5126" max="5126" width="12.5703125" style="544" bestFit="1" customWidth="1"/>
    <col min="5127" max="5127" width="14.5703125" style="544" bestFit="1" customWidth="1"/>
    <col min="5128" max="5128" width="17.5703125" style="544" customWidth="1"/>
    <col min="5129" max="5129" width="6.42578125" style="544" customWidth="1"/>
    <col min="5130" max="5130" width="15.5703125" style="544" bestFit="1" customWidth="1"/>
    <col min="5131" max="5131" width="17.7109375" style="544" bestFit="1" customWidth="1"/>
    <col min="5132" max="5132" width="9.140625" style="544"/>
    <col min="5133" max="5133" width="10.28515625" style="544" customWidth="1"/>
    <col min="5134" max="5134" width="9.140625" style="544"/>
    <col min="5135" max="5135" width="9.28515625" style="544" customWidth="1"/>
    <col min="5136" max="5136" width="10" style="544" customWidth="1"/>
    <col min="5137" max="5378" width="9.140625" style="544"/>
    <col min="5379" max="5379" width="4.140625" style="544" customWidth="1"/>
    <col min="5380" max="5380" width="24.5703125" style="544" customWidth="1"/>
    <col min="5381" max="5381" width="17.7109375" style="544" bestFit="1" customWidth="1"/>
    <col min="5382" max="5382" width="12.5703125" style="544" bestFit="1" customWidth="1"/>
    <col min="5383" max="5383" width="14.5703125" style="544" bestFit="1" customWidth="1"/>
    <col min="5384" max="5384" width="17.5703125" style="544" customWidth="1"/>
    <col min="5385" max="5385" width="6.42578125" style="544" customWidth="1"/>
    <col min="5386" max="5386" width="15.5703125" style="544" bestFit="1" customWidth="1"/>
    <col min="5387" max="5387" width="17.7109375" style="544" bestFit="1" customWidth="1"/>
    <col min="5388" max="5388" width="9.140625" style="544"/>
    <col min="5389" max="5389" width="10.28515625" style="544" customWidth="1"/>
    <col min="5390" max="5390" width="9.140625" style="544"/>
    <col min="5391" max="5391" width="9.28515625" style="544" customWidth="1"/>
    <col min="5392" max="5392" width="10" style="544" customWidth="1"/>
    <col min="5393" max="5634" width="9.140625" style="544"/>
    <col min="5635" max="5635" width="4.140625" style="544" customWidth="1"/>
    <col min="5636" max="5636" width="24.5703125" style="544" customWidth="1"/>
    <col min="5637" max="5637" width="17.7109375" style="544" bestFit="1" customWidth="1"/>
    <col min="5638" max="5638" width="12.5703125" style="544" bestFit="1" customWidth="1"/>
    <col min="5639" max="5639" width="14.5703125" style="544" bestFit="1" customWidth="1"/>
    <col min="5640" max="5640" width="17.5703125" style="544" customWidth="1"/>
    <col min="5641" max="5641" width="6.42578125" style="544" customWidth="1"/>
    <col min="5642" max="5642" width="15.5703125" style="544" bestFit="1" customWidth="1"/>
    <col min="5643" max="5643" width="17.7109375" style="544" bestFit="1" customWidth="1"/>
    <col min="5644" max="5644" width="9.140625" style="544"/>
    <col min="5645" max="5645" width="10.28515625" style="544" customWidth="1"/>
    <col min="5646" max="5646" width="9.140625" style="544"/>
    <col min="5647" max="5647" width="9.28515625" style="544" customWidth="1"/>
    <col min="5648" max="5648" width="10" style="544" customWidth="1"/>
    <col min="5649" max="5890" width="9.140625" style="544"/>
    <col min="5891" max="5891" width="4.140625" style="544" customWidth="1"/>
    <col min="5892" max="5892" width="24.5703125" style="544" customWidth="1"/>
    <col min="5893" max="5893" width="17.7109375" style="544" bestFit="1" customWidth="1"/>
    <col min="5894" max="5894" width="12.5703125" style="544" bestFit="1" customWidth="1"/>
    <col min="5895" max="5895" width="14.5703125" style="544" bestFit="1" customWidth="1"/>
    <col min="5896" max="5896" width="17.5703125" style="544" customWidth="1"/>
    <col min="5897" max="5897" width="6.42578125" style="544" customWidth="1"/>
    <col min="5898" max="5898" width="15.5703125" style="544" bestFit="1" customWidth="1"/>
    <col min="5899" max="5899" width="17.7109375" style="544" bestFit="1" customWidth="1"/>
    <col min="5900" max="5900" width="9.140625" style="544"/>
    <col min="5901" max="5901" width="10.28515625" style="544" customWidth="1"/>
    <col min="5902" max="5902" width="9.140625" style="544"/>
    <col min="5903" max="5903" width="9.28515625" style="544" customWidth="1"/>
    <col min="5904" max="5904" width="10" style="544" customWidth="1"/>
    <col min="5905" max="6146" width="9.140625" style="544"/>
    <col min="6147" max="6147" width="4.140625" style="544" customWidth="1"/>
    <col min="6148" max="6148" width="24.5703125" style="544" customWidth="1"/>
    <col min="6149" max="6149" width="17.7109375" style="544" bestFit="1" customWidth="1"/>
    <col min="6150" max="6150" width="12.5703125" style="544" bestFit="1" customWidth="1"/>
    <col min="6151" max="6151" width="14.5703125" style="544" bestFit="1" customWidth="1"/>
    <col min="6152" max="6152" width="17.5703125" style="544" customWidth="1"/>
    <col min="6153" max="6153" width="6.42578125" style="544" customWidth="1"/>
    <col min="6154" max="6154" width="15.5703125" style="544" bestFit="1" customWidth="1"/>
    <col min="6155" max="6155" width="17.7109375" style="544" bestFit="1" customWidth="1"/>
    <col min="6156" max="6156" width="9.140625" style="544"/>
    <col min="6157" max="6157" width="10.28515625" style="544" customWidth="1"/>
    <col min="6158" max="6158" width="9.140625" style="544"/>
    <col min="6159" max="6159" width="9.28515625" style="544" customWidth="1"/>
    <col min="6160" max="6160" width="10" style="544" customWidth="1"/>
    <col min="6161" max="6402" width="9.140625" style="544"/>
    <col min="6403" max="6403" width="4.140625" style="544" customWidth="1"/>
    <col min="6404" max="6404" width="24.5703125" style="544" customWidth="1"/>
    <col min="6405" max="6405" width="17.7109375" style="544" bestFit="1" customWidth="1"/>
    <col min="6406" max="6406" width="12.5703125" style="544" bestFit="1" customWidth="1"/>
    <col min="6407" max="6407" width="14.5703125" style="544" bestFit="1" customWidth="1"/>
    <col min="6408" max="6408" width="17.5703125" style="544" customWidth="1"/>
    <col min="6409" max="6409" width="6.42578125" style="544" customWidth="1"/>
    <col min="6410" max="6410" width="15.5703125" style="544" bestFit="1" customWidth="1"/>
    <col min="6411" max="6411" width="17.7109375" style="544" bestFit="1" customWidth="1"/>
    <col min="6412" max="6412" width="9.140625" style="544"/>
    <col min="6413" max="6413" width="10.28515625" style="544" customWidth="1"/>
    <col min="6414" max="6414" width="9.140625" style="544"/>
    <col min="6415" max="6415" width="9.28515625" style="544" customWidth="1"/>
    <col min="6416" max="6416" width="10" style="544" customWidth="1"/>
    <col min="6417" max="6658" width="9.140625" style="544"/>
    <col min="6659" max="6659" width="4.140625" style="544" customWidth="1"/>
    <col min="6660" max="6660" width="24.5703125" style="544" customWidth="1"/>
    <col min="6661" max="6661" width="17.7109375" style="544" bestFit="1" customWidth="1"/>
    <col min="6662" max="6662" width="12.5703125" style="544" bestFit="1" customWidth="1"/>
    <col min="6663" max="6663" width="14.5703125" style="544" bestFit="1" customWidth="1"/>
    <col min="6664" max="6664" width="17.5703125" style="544" customWidth="1"/>
    <col min="6665" max="6665" width="6.42578125" style="544" customWidth="1"/>
    <col min="6666" max="6666" width="15.5703125" style="544" bestFit="1" customWidth="1"/>
    <col min="6667" max="6667" width="17.7109375" style="544" bestFit="1" customWidth="1"/>
    <col min="6668" max="6668" width="9.140625" style="544"/>
    <col min="6669" max="6669" width="10.28515625" style="544" customWidth="1"/>
    <col min="6670" max="6670" width="9.140625" style="544"/>
    <col min="6671" max="6671" width="9.28515625" style="544" customWidth="1"/>
    <col min="6672" max="6672" width="10" style="544" customWidth="1"/>
    <col min="6673" max="6914" width="9.140625" style="544"/>
    <col min="6915" max="6915" width="4.140625" style="544" customWidth="1"/>
    <col min="6916" max="6916" width="24.5703125" style="544" customWidth="1"/>
    <col min="6917" max="6917" width="17.7109375" style="544" bestFit="1" customWidth="1"/>
    <col min="6918" max="6918" width="12.5703125" style="544" bestFit="1" customWidth="1"/>
    <col min="6919" max="6919" width="14.5703125" style="544" bestFit="1" customWidth="1"/>
    <col min="6920" max="6920" width="17.5703125" style="544" customWidth="1"/>
    <col min="6921" max="6921" width="6.42578125" style="544" customWidth="1"/>
    <col min="6922" max="6922" width="15.5703125" style="544" bestFit="1" customWidth="1"/>
    <col min="6923" max="6923" width="17.7109375" style="544" bestFit="1" customWidth="1"/>
    <col min="6924" max="6924" width="9.140625" style="544"/>
    <col min="6925" max="6925" width="10.28515625" style="544" customWidth="1"/>
    <col min="6926" max="6926" width="9.140625" style="544"/>
    <col min="6927" max="6927" width="9.28515625" style="544" customWidth="1"/>
    <col min="6928" max="6928" width="10" style="544" customWidth="1"/>
    <col min="6929" max="7170" width="9.140625" style="544"/>
    <col min="7171" max="7171" width="4.140625" style="544" customWidth="1"/>
    <col min="7172" max="7172" width="24.5703125" style="544" customWidth="1"/>
    <col min="7173" max="7173" width="17.7109375" style="544" bestFit="1" customWidth="1"/>
    <col min="7174" max="7174" width="12.5703125" style="544" bestFit="1" customWidth="1"/>
    <col min="7175" max="7175" width="14.5703125" style="544" bestFit="1" customWidth="1"/>
    <col min="7176" max="7176" width="17.5703125" style="544" customWidth="1"/>
    <col min="7177" max="7177" width="6.42578125" style="544" customWidth="1"/>
    <col min="7178" max="7178" width="15.5703125" style="544" bestFit="1" customWidth="1"/>
    <col min="7179" max="7179" width="17.7109375" style="544" bestFit="1" customWidth="1"/>
    <col min="7180" max="7180" width="9.140625" style="544"/>
    <col min="7181" max="7181" width="10.28515625" style="544" customWidth="1"/>
    <col min="7182" max="7182" width="9.140625" style="544"/>
    <col min="7183" max="7183" width="9.28515625" style="544" customWidth="1"/>
    <col min="7184" max="7184" width="10" style="544" customWidth="1"/>
    <col min="7185" max="7426" width="9.140625" style="544"/>
    <col min="7427" max="7427" width="4.140625" style="544" customWidth="1"/>
    <col min="7428" max="7428" width="24.5703125" style="544" customWidth="1"/>
    <col min="7429" max="7429" width="17.7109375" style="544" bestFit="1" customWidth="1"/>
    <col min="7430" max="7430" width="12.5703125" style="544" bestFit="1" customWidth="1"/>
    <col min="7431" max="7431" width="14.5703125" style="544" bestFit="1" customWidth="1"/>
    <col min="7432" max="7432" width="17.5703125" style="544" customWidth="1"/>
    <col min="7433" max="7433" width="6.42578125" style="544" customWidth="1"/>
    <col min="7434" max="7434" width="15.5703125" style="544" bestFit="1" customWidth="1"/>
    <col min="7435" max="7435" width="17.7109375" style="544" bestFit="1" customWidth="1"/>
    <col min="7436" max="7436" width="9.140625" style="544"/>
    <col min="7437" max="7437" width="10.28515625" style="544" customWidth="1"/>
    <col min="7438" max="7438" width="9.140625" style="544"/>
    <col min="7439" max="7439" width="9.28515625" style="544" customWidth="1"/>
    <col min="7440" max="7440" width="10" style="544" customWidth="1"/>
    <col min="7441" max="7682" width="9.140625" style="544"/>
    <col min="7683" max="7683" width="4.140625" style="544" customWidth="1"/>
    <col min="7684" max="7684" width="24.5703125" style="544" customWidth="1"/>
    <col min="7685" max="7685" width="17.7109375" style="544" bestFit="1" customWidth="1"/>
    <col min="7686" max="7686" width="12.5703125" style="544" bestFit="1" customWidth="1"/>
    <col min="7687" max="7687" width="14.5703125" style="544" bestFit="1" customWidth="1"/>
    <col min="7688" max="7688" width="17.5703125" style="544" customWidth="1"/>
    <col min="7689" max="7689" width="6.42578125" style="544" customWidth="1"/>
    <col min="7690" max="7690" width="15.5703125" style="544" bestFit="1" customWidth="1"/>
    <col min="7691" max="7691" width="17.7109375" style="544" bestFit="1" customWidth="1"/>
    <col min="7692" max="7692" width="9.140625" style="544"/>
    <col min="7693" max="7693" width="10.28515625" style="544" customWidth="1"/>
    <col min="7694" max="7694" width="9.140625" style="544"/>
    <col min="7695" max="7695" width="9.28515625" style="544" customWidth="1"/>
    <col min="7696" max="7696" width="10" style="544" customWidth="1"/>
    <col min="7697" max="7938" width="9.140625" style="544"/>
    <col min="7939" max="7939" width="4.140625" style="544" customWidth="1"/>
    <col min="7940" max="7940" width="24.5703125" style="544" customWidth="1"/>
    <col min="7941" max="7941" width="17.7109375" style="544" bestFit="1" customWidth="1"/>
    <col min="7942" max="7942" width="12.5703125" style="544" bestFit="1" customWidth="1"/>
    <col min="7943" max="7943" width="14.5703125" style="544" bestFit="1" customWidth="1"/>
    <col min="7944" max="7944" width="17.5703125" style="544" customWidth="1"/>
    <col min="7945" max="7945" width="6.42578125" style="544" customWidth="1"/>
    <col min="7946" max="7946" width="15.5703125" style="544" bestFit="1" customWidth="1"/>
    <col min="7947" max="7947" width="17.7109375" style="544" bestFit="1" customWidth="1"/>
    <col min="7948" max="7948" width="9.140625" style="544"/>
    <col min="7949" max="7949" width="10.28515625" style="544" customWidth="1"/>
    <col min="7950" max="7950" width="9.140625" style="544"/>
    <col min="7951" max="7951" width="9.28515625" style="544" customWidth="1"/>
    <col min="7952" max="7952" width="10" style="544" customWidth="1"/>
    <col min="7953" max="8194" width="9.140625" style="544"/>
    <col min="8195" max="8195" width="4.140625" style="544" customWidth="1"/>
    <col min="8196" max="8196" width="24.5703125" style="544" customWidth="1"/>
    <col min="8197" max="8197" width="17.7109375" style="544" bestFit="1" customWidth="1"/>
    <col min="8198" max="8198" width="12.5703125" style="544" bestFit="1" customWidth="1"/>
    <col min="8199" max="8199" width="14.5703125" style="544" bestFit="1" customWidth="1"/>
    <col min="8200" max="8200" width="17.5703125" style="544" customWidth="1"/>
    <col min="8201" max="8201" width="6.42578125" style="544" customWidth="1"/>
    <col min="8202" max="8202" width="15.5703125" style="544" bestFit="1" customWidth="1"/>
    <col min="8203" max="8203" width="17.7109375" style="544" bestFit="1" customWidth="1"/>
    <col min="8204" max="8204" width="9.140625" style="544"/>
    <col min="8205" max="8205" width="10.28515625" style="544" customWidth="1"/>
    <col min="8206" max="8206" width="9.140625" style="544"/>
    <col min="8207" max="8207" width="9.28515625" style="544" customWidth="1"/>
    <col min="8208" max="8208" width="10" style="544" customWidth="1"/>
    <col min="8209" max="8450" width="9.140625" style="544"/>
    <col min="8451" max="8451" width="4.140625" style="544" customWidth="1"/>
    <col min="8452" max="8452" width="24.5703125" style="544" customWidth="1"/>
    <col min="8453" max="8453" width="17.7109375" style="544" bestFit="1" customWidth="1"/>
    <col min="8454" max="8454" width="12.5703125" style="544" bestFit="1" customWidth="1"/>
    <col min="8455" max="8455" width="14.5703125" style="544" bestFit="1" customWidth="1"/>
    <col min="8456" max="8456" width="17.5703125" style="544" customWidth="1"/>
    <col min="8457" max="8457" width="6.42578125" style="544" customWidth="1"/>
    <col min="8458" max="8458" width="15.5703125" style="544" bestFit="1" customWidth="1"/>
    <col min="8459" max="8459" width="17.7109375" style="544" bestFit="1" customWidth="1"/>
    <col min="8460" max="8460" width="9.140625" style="544"/>
    <col min="8461" max="8461" width="10.28515625" style="544" customWidth="1"/>
    <col min="8462" max="8462" width="9.140625" style="544"/>
    <col min="8463" max="8463" width="9.28515625" style="544" customWidth="1"/>
    <col min="8464" max="8464" width="10" style="544" customWidth="1"/>
    <col min="8465" max="8706" width="9.140625" style="544"/>
    <col min="8707" max="8707" width="4.140625" style="544" customWidth="1"/>
    <col min="8708" max="8708" width="24.5703125" style="544" customWidth="1"/>
    <col min="8709" max="8709" width="17.7109375" style="544" bestFit="1" customWidth="1"/>
    <col min="8710" max="8710" width="12.5703125" style="544" bestFit="1" customWidth="1"/>
    <col min="8711" max="8711" width="14.5703125" style="544" bestFit="1" customWidth="1"/>
    <col min="8712" max="8712" width="17.5703125" style="544" customWidth="1"/>
    <col min="8713" max="8713" width="6.42578125" style="544" customWidth="1"/>
    <col min="8714" max="8714" width="15.5703125" style="544" bestFit="1" customWidth="1"/>
    <col min="8715" max="8715" width="17.7109375" style="544" bestFit="1" customWidth="1"/>
    <col min="8716" max="8716" width="9.140625" style="544"/>
    <col min="8717" max="8717" width="10.28515625" style="544" customWidth="1"/>
    <col min="8718" max="8718" width="9.140625" style="544"/>
    <col min="8719" max="8719" width="9.28515625" style="544" customWidth="1"/>
    <col min="8720" max="8720" width="10" style="544" customWidth="1"/>
    <col min="8721" max="8962" width="9.140625" style="544"/>
    <col min="8963" max="8963" width="4.140625" style="544" customWidth="1"/>
    <col min="8964" max="8964" width="24.5703125" style="544" customWidth="1"/>
    <col min="8965" max="8965" width="17.7109375" style="544" bestFit="1" customWidth="1"/>
    <col min="8966" max="8966" width="12.5703125" style="544" bestFit="1" customWidth="1"/>
    <col min="8967" max="8967" width="14.5703125" style="544" bestFit="1" customWidth="1"/>
    <col min="8968" max="8968" width="17.5703125" style="544" customWidth="1"/>
    <col min="8969" max="8969" width="6.42578125" style="544" customWidth="1"/>
    <col min="8970" max="8970" width="15.5703125" style="544" bestFit="1" customWidth="1"/>
    <col min="8971" max="8971" width="17.7109375" style="544" bestFit="1" customWidth="1"/>
    <col min="8972" max="8972" width="9.140625" style="544"/>
    <col min="8973" max="8973" width="10.28515625" style="544" customWidth="1"/>
    <col min="8974" max="8974" width="9.140625" style="544"/>
    <col min="8975" max="8975" width="9.28515625" style="544" customWidth="1"/>
    <col min="8976" max="8976" width="10" style="544" customWidth="1"/>
    <col min="8977" max="9218" width="9.140625" style="544"/>
    <col min="9219" max="9219" width="4.140625" style="544" customWidth="1"/>
    <col min="9220" max="9220" width="24.5703125" style="544" customWidth="1"/>
    <col min="9221" max="9221" width="17.7109375" style="544" bestFit="1" customWidth="1"/>
    <col min="9222" max="9222" width="12.5703125" style="544" bestFit="1" customWidth="1"/>
    <col min="9223" max="9223" width="14.5703125" style="544" bestFit="1" customWidth="1"/>
    <col min="9224" max="9224" width="17.5703125" style="544" customWidth="1"/>
    <col min="9225" max="9225" width="6.42578125" style="544" customWidth="1"/>
    <col min="9226" max="9226" width="15.5703125" style="544" bestFit="1" customWidth="1"/>
    <col min="9227" max="9227" width="17.7109375" style="544" bestFit="1" customWidth="1"/>
    <col min="9228" max="9228" width="9.140625" style="544"/>
    <col min="9229" max="9229" width="10.28515625" style="544" customWidth="1"/>
    <col min="9230" max="9230" width="9.140625" style="544"/>
    <col min="9231" max="9231" width="9.28515625" style="544" customWidth="1"/>
    <col min="9232" max="9232" width="10" style="544" customWidth="1"/>
    <col min="9233" max="9474" width="9.140625" style="544"/>
    <col min="9475" max="9475" width="4.140625" style="544" customWidth="1"/>
    <col min="9476" max="9476" width="24.5703125" style="544" customWidth="1"/>
    <col min="9477" max="9477" width="17.7109375" style="544" bestFit="1" customWidth="1"/>
    <col min="9478" max="9478" width="12.5703125" style="544" bestFit="1" customWidth="1"/>
    <col min="9479" max="9479" width="14.5703125" style="544" bestFit="1" customWidth="1"/>
    <col min="9480" max="9480" width="17.5703125" style="544" customWidth="1"/>
    <col min="9481" max="9481" width="6.42578125" style="544" customWidth="1"/>
    <col min="9482" max="9482" width="15.5703125" style="544" bestFit="1" customWidth="1"/>
    <col min="9483" max="9483" width="17.7109375" style="544" bestFit="1" customWidth="1"/>
    <col min="9484" max="9484" width="9.140625" style="544"/>
    <col min="9485" max="9485" width="10.28515625" style="544" customWidth="1"/>
    <col min="9486" max="9486" width="9.140625" style="544"/>
    <col min="9487" max="9487" width="9.28515625" style="544" customWidth="1"/>
    <col min="9488" max="9488" width="10" style="544" customWidth="1"/>
    <col min="9489" max="9730" width="9.140625" style="544"/>
    <col min="9731" max="9731" width="4.140625" style="544" customWidth="1"/>
    <col min="9732" max="9732" width="24.5703125" style="544" customWidth="1"/>
    <col min="9733" max="9733" width="17.7109375" style="544" bestFit="1" customWidth="1"/>
    <col min="9734" max="9734" width="12.5703125" style="544" bestFit="1" customWidth="1"/>
    <col min="9735" max="9735" width="14.5703125" style="544" bestFit="1" customWidth="1"/>
    <col min="9736" max="9736" width="17.5703125" style="544" customWidth="1"/>
    <col min="9737" max="9737" width="6.42578125" style="544" customWidth="1"/>
    <col min="9738" max="9738" width="15.5703125" style="544" bestFit="1" customWidth="1"/>
    <col min="9739" max="9739" width="17.7109375" style="544" bestFit="1" customWidth="1"/>
    <col min="9740" max="9740" width="9.140625" style="544"/>
    <col min="9741" max="9741" width="10.28515625" style="544" customWidth="1"/>
    <col min="9742" max="9742" width="9.140625" style="544"/>
    <col min="9743" max="9743" width="9.28515625" style="544" customWidth="1"/>
    <col min="9744" max="9744" width="10" style="544" customWidth="1"/>
    <col min="9745" max="9986" width="9.140625" style="544"/>
    <col min="9987" max="9987" width="4.140625" style="544" customWidth="1"/>
    <col min="9988" max="9988" width="24.5703125" style="544" customWidth="1"/>
    <col min="9989" max="9989" width="17.7109375" style="544" bestFit="1" customWidth="1"/>
    <col min="9990" max="9990" width="12.5703125" style="544" bestFit="1" customWidth="1"/>
    <col min="9991" max="9991" width="14.5703125" style="544" bestFit="1" customWidth="1"/>
    <col min="9992" max="9992" width="17.5703125" style="544" customWidth="1"/>
    <col min="9993" max="9993" width="6.42578125" style="544" customWidth="1"/>
    <col min="9994" max="9994" width="15.5703125" style="544" bestFit="1" customWidth="1"/>
    <col min="9995" max="9995" width="17.7109375" style="544" bestFit="1" customWidth="1"/>
    <col min="9996" max="9996" width="9.140625" style="544"/>
    <col min="9997" max="9997" width="10.28515625" style="544" customWidth="1"/>
    <col min="9998" max="9998" width="9.140625" style="544"/>
    <col min="9999" max="9999" width="9.28515625" style="544" customWidth="1"/>
    <col min="10000" max="10000" width="10" style="544" customWidth="1"/>
    <col min="10001" max="10242" width="9.140625" style="544"/>
    <col min="10243" max="10243" width="4.140625" style="544" customWidth="1"/>
    <col min="10244" max="10244" width="24.5703125" style="544" customWidth="1"/>
    <col min="10245" max="10245" width="17.7109375" style="544" bestFit="1" customWidth="1"/>
    <col min="10246" max="10246" width="12.5703125" style="544" bestFit="1" customWidth="1"/>
    <col min="10247" max="10247" width="14.5703125" style="544" bestFit="1" customWidth="1"/>
    <col min="10248" max="10248" width="17.5703125" style="544" customWidth="1"/>
    <col min="10249" max="10249" width="6.42578125" style="544" customWidth="1"/>
    <col min="10250" max="10250" width="15.5703125" style="544" bestFit="1" customWidth="1"/>
    <col min="10251" max="10251" width="17.7109375" style="544" bestFit="1" customWidth="1"/>
    <col min="10252" max="10252" width="9.140625" style="544"/>
    <col min="10253" max="10253" width="10.28515625" style="544" customWidth="1"/>
    <col min="10254" max="10254" width="9.140625" style="544"/>
    <col min="10255" max="10255" width="9.28515625" style="544" customWidth="1"/>
    <col min="10256" max="10256" width="10" style="544" customWidth="1"/>
    <col min="10257" max="10498" width="9.140625" style="544"/>
    <col min="10499" max="10499" width="4.140625" style="544" customWidth="1"/>
    <col min="10500" max="10500" width="24.5703125" style="544" customWidth="1"/>
    <col min="10501" max="10501" width="17.7109375" style="544" bestFit="1" customWidth="1"/>
    <col min="10502" max="10502" width="12.5703125" style="544" bestFit="1" customWidth="1"/>
    <col min="10503" max="10503" width="14.5703125" style="544" bestFit="1" customWidth="1"/>
    <col min="10504" max="10504" width="17.5703125" style="544" customWidth="1"/>
    <col min="10505" max="10505" width="6.42578125" style="544" customWidth="1"/>
    <col min="10506" max="10506" width="15.5703125" style="544" bestFit="1" customWidth="1"/>
    <col min="10507" max="10507" width="17.7109375" style="544" bestFit="1" customWidth="1"/>
    <col min="10508" max="10508" width="9.140625" style="544"/>
    <col min="10509" max="10509" width="10.28515625" style="544" customWidth="1"/>
    <col min="10510" max="10510" width="9.140625" style="544"/>
    <col min="10511" max="10511" width="9.28515625" style="544" customWidth="1"/>
    <col min="10512" max="10512" width="10" style="544" customWidth="1"/>
    <col min="10513" max="10754" width="9.140625" style="544"/>
    <col min="10755" max="10755" width="4.140625" style="544" customWidth="1"/>
    <col min="10756" max="10756" width="24.5703125" style="544" customWidth="1"/>
    <col min="10757" max="10757" width="17.7109375" style="544" bestFit="1" customWidth="1"/>
    <col min="10758" max="10758" width="12.5703125" style="544" bestFit="1" customWidth="1"/>
    <col min="10759" max="10759" width="14.5703125" style="544" bestFit="1" customWidth="1"/>
    <col min="10760" max="10760" width="17.5703125" style="544" customWidth="1"/>
    <col min="10761" max="10761" width="6.42578125" style="544" customWidth="1"/>
    <col min="10762" max="10762" width="15.5703125" style="544" bestFit="1" customWidth="1"/>
    <col min="10763" max="10763" width="17.7109375" style="544" bestFit="1" customWidth="1"/>
    <col min="10764" max="10764" width="9.140625" style="544"/>
    <col min="10765" max="10765" width="10.28515625" style="544" customWidth="1"/>
    <col min="10766" max="10766" width="9.140625" style="544"/>
    <col min="10767" max="10767" width="9.28515625" style="544" customWidth="1"/>
    <col min="10768" max="10768" width="10" style="544" customWidth="1"/>
    <col min="10769" max="11010" width="9.140625" style="544"/>
    <col min="11011" max="11011" width="4.140625" style="544" customWidth="1"/>
    <col min="11012" max="11012" width="24.5703125" style="544" customWidth="1"/>
    <col min="11013" max="11013" width="17.7109375" style="544" bestFit="1" customWidth="1"/>
    <col min="11014" max="11014" width="12.5703125" style="544" bestFit="1" customWidth="1"/>
    <col min="11015" max="11015" width="14.5703125" style="544" bestFit="1" customWidth="1"/>
    <col min="11016" max="11016" width="17.5703125" style="544" customWidth="1"/>
    <col min="11017" max="11017" width="6.42578125" style="544" customWidth="1"/>
    <col min="11018" max="11018" width="15.5703125" style="544" bestFit="1" customWidth="1"/>
    <col min="11019" max="11019" width="17.7109375" style="544" bestFit="1" customWidth="1"/>
    <col min="11020" max="11020" width="9.140625" style="544"/>
    <col min="11021" max="11021" width="10.28515625" style="544" customWidth="1"/>
    <col min="11022" max="11022" width="9.140625" style="544"/>
    <col min="11023" max="11023" width="9.28515625" style="544" customWidth="1"/>
    <col min="11024" max="11024" width="10" style="544" customWidth="1"/>
    <col min="11025" max="11266" width="9.140625" style="544"/>
    <col min="11267" max="11267" width="4.140625" style="544" customWidth="1"/>
    <col min="11268" max="11268" width="24.5703125" style="544" customWidth="1"/>
    <col min="11269" max="11269" width="17.7109375" style="544" bestFit="1" customWidth="1"/>
    <col min="11270" max="11270" width="12.5703125" style="544" bestFit="1" customWidth="1"/>
    <col min="11271" max="11271" width="14.5703125" style="544" bestFit="1" customWidth="1"/>
    <col min="11272" max="11272" width="17.5703125" style="544" customWidth="1"/>
    <col min="11273" max="11273" width="6.42578125" style="544" customWidth="1"/>
    <col min="11274" max="11274" width="15.5703125" style="544" bestFit="1" customWidth="1"/>
    <col min="11275" max="11275" width="17.7109375" style="544" bestFit="1" customWidth="1"/>
    <col min="11276" max="11276" width="9.140625" style="544"/>
    <col min="11277" max="11277" width="10.28515625" style="544" customWidth="1"/>
    <col min="11278" max="11278" width="9.140625" style="544"/>
    <col min="11279" max="11279" width="9.28515625" style="544" customWidth="1"/>
    <col min="11280" max="11280" width="10" style="544" customWidth="1"/>
    <col min="11281" max="11522" width="9.140625" style="544"/>
    <col min="11523" max="11523" width="4.140625" style="544" customWidth="1"/>
    <col min="11524" max="11524" width="24.5703125" style="544" customWidth="1"/>
    <col min="11525" max="11525" width="17.7109375" style="544" bestFit="1" customWidth="1"/>
    <col min="11526" max="11526" width="12.5703125" style="544" bestFit="1" customWidth="1"/>
    <col min="11527" max="11527" width="14.5703125" style="544" bestFit="1" customWidth="1"/>
    <col min="11528" max="11528" width="17.5703125" style="544" customWidth="1"/>
    <col min="11529" max="11529" width="6.42578125" style="544" customWidth="1"/>
    <col min="11530" max="11530" width="15.5703125" style="544" bestFit="1" customWidth="1"/>
    <col min="11531" max="11531" width="17.7109375" style="544" bestFit="1" customWidth="1"/>
    <col min="11532" max="11532" width="9.140625" style="544"/>
    <col min="11533" max="11533" width="10.28515625" style="544" customWidth="1"/>
    <col min="11534" max="11534" width="9.140625" style="544"/>
    <col min="11535" max="11535" width="9.28515625" style="544" customWidth="1"/>
    <col min="11536" max="11536" width="10" style="544" customWidth="1"/>
    <col min="11537" max="11778" width="9.140625" style="544"/>
    <col min="11779" max="11779" width="4.140625" style="544" customWidth="1"/>
    <col min="11780" max="11780" width="24.5703125" style="544" customWidth="1"/>
    <col min="11781" max="11781" width="17.7109375" style="544" bestFit="1" customWidth="1"/>
    <col min="11782" max="11782" width="12.5703125" style="544" bestFit="1" customWidth="1"/>
    <col min="11783" max="11783" width="14.5703125" style="544" bestFit="1" customWidth="1"/>
    <col min="11784" max="11784" width="17.5703125" style="544" customWidth="1"/>
    <col min="11785" max="11785" width="6.42578125" style="544" customWidth="1"/>
    <col min="11786" max="11786" width="15.5703125" style="544" bestFit="1" customWidth="1"/>
    <col min="11787" max="11787" width="17.7109375" style="544" bestFit="1" customWidth="1"/>
    <col min="11788" max="11788" width="9.140625" style="544"/>
    <col min="11789" max="11789" width="10.28515625" style="544" customWidth="1"/>
    <col min="11790" max="11790" width="9.140625" style="544"/>
    <col min="11791" max="11791" width="9.28515625" style="544" customWidth="1"/>
    <col min="11792" max="11792" width="10" style="544" customWidth="1"/>
    <col min="11793" max="12034" width="9.140625" style="544"/>
    <col min="12035" max="12035" width="4.140625" style="544" customWidth="1"/>
    <col min="12036" max="12036" width="24.5703125" style="544" customWidth="1"/>
    <col min="12037" max="12037" width="17.7109375" style="544" bestFit="1" customWidth="1"/>
    <col min="12038" max="12038" width="12.5703125" style="544" bestFit="1" customWidth="1"/>
    <col min="12039" max="12039" width="14.5703125" style="544" bestFit="1" customWidth="1"/>
    <col min="12040" max="12040" width="17.5703125" style="544" customWidth="1"/>
    <col min="12041" max="12041" width="6.42578125" style="544" customWidth="1"/>
    <col min="12042" max="12042" width="15.5703125" style="544" bestFit="1" customWidth="1"/>
    <col min="12043" max="12043" width="17.7109375" style="544" bestFit="1" customWidth="1"/>
    <col min="12044" max="12044" width="9.140625" style="544"/>
    <col min="12045" max="12045" width="10.28515625" style="544" customWidth="1"/>
    <col min="12046" max="12046" width="9.140625" style="544"/>
    <col min="12047" max="12047" width="9.28515625" style="544" customWidth="1"/>
    <col min="12048" max="12048" width="10" style="544" customWidth="1"/>
    <col min="12049" max="12290" width="9.140625" style="544"/>
    <col min="12291" max="12291" width="4.140625" style="544" customWidth="1"/>
    <col min="12292" max="12292" width="24.5703125" style="544" customWidth="1"/>
    <col min="12293" max="12293" width="17.7109375" style="544" bestFit="1" customWidth="1"/>
    <col min="12294" max="12294" width="12.5703125" style="544" bestFit="1" customWidth="1"/>
    <col min="12295" max="12295" width="14.5703125" style="544" bestFit="1" customWidth="1"/>
    <col min="12296" max="12296" width="17.5703125" style="544" customWidth="1"/>
    <col min="12297" max="12297" width="6.42578125" style="544" customWidth="1"/>
    <col min="12298" max="12298" width="15.5703125" style="544" bestFit="1" customWidth="1"/>
    <col min="12299" max="12299" width="17.7109375" style="544" bestFit="1" customWidth="1"/>
    <col min="12300" max="12300" width="9.140625" style="544"/>
    <col min="12301" max="12301" width="10.28515625" style="544" customWidth="1"/>
    <col min="12302" max="12302" width="9.140625" style="544"/>
    <col min="12303" max="12303" width="9.28515625" style="544" customWidth="1"/>
    <col min="12304" max="12304" width="10" style="544" customWidth="1"/>
    <col min="12305" max="12546" width="9.140625" style="544"/>
    <col min="12547" max="12547" width="4.140625" style="544" customWidth="1"/>
    <col min="12548" max="12548" width="24.5703125" style="544" customWidth="1"/>
    <col min="12549" max="12549" width="17.7109375" style="544" bestFit="1" customWidth="1"/>
    <col min="12550" max="12550" width="12.5703125" style="544" bestFit="1" customWidth="1"/>
    <col min="12551" max="12551" width="14.5703125" style="544" bestFit="1" customWidth="1"/>
    <col min="12552" max="12552" width="17.5703125" style="544" customWidth="1"/>
    <col min="12553" max="12553" width="6.42578125" style="544" customWidth="1"/>
    <col min="12554" max="12554" width="15.5703125" style="544" bestFit="1" customWidth="1"/>
    <col min="12555" max="12555" width="17.7109375" style="544" bestFit="1" customWidth="1"/>
    <col min="12556" max="12556" width="9.140625" style="544"/>
    <col min="12557" max="12557" width="10.28515625" style="544" customWidth="1"/>
    <col min="12558" max="12558" width="9.140625" style="544"/>
    <col min="12559" max="12559" width="9.28515625" style="544" customWidth="1"/>
    <col min="12560" max="12560" width="10" style="544" customWidth="1"/>
    <col min="12561" max="12802" width="9.140625" style="544"/>
    <col min="12803" max="12803" width="4.140625" style="544" customWidth="1"/>
    <col min="12804" max="12804" width="24.5703125" style="544" customWidth="1"/>
    <col min="12805" max="12805" width="17.7109375" style="544" bestFit="1" customWidth="1"/>
    <col min="12806" max="12806" width="12.5703125" style="544" bestFit="1" customWidth="1"/>
    <col min="12807" max="12807" width="14.5703125" style="544" bestFit="1" customWidth="1"/>
    <col min="12808" max="12808" width="17.5703125" style="544" customWidth="1"/>
    <col min="12809" max="12809" width="6.42578125" style="544" customWidth="1"/>
    <col min="12810" max="12810" width="15.5703125" style="544" bestFit="1" customWidth="1"/>
    <col min="12811" max="12811" width="17.7109375" style="544" bestFit="1" customWidth="1"/>
    <col min="12812" max="12812" width="9.140625" style="544"/>
    <col min="12813" max="12813" width="10.28515625" style="544" customWidth="1"/>
    <col min="12814" max="12814" width="9.140625" style="544"/>
    <col min="12815" max="12815" width="9.28515625" style="544" customWidth="1"/>
    <col min="12816" max="12816" width="10" style="544" customWidth="1"/>
    <col min="12817" max="13058" width="9.140625" style="544"/>
    <col min="13059" max="13059" width="4.140625" style="544" customWidth="1"/>
    <col min="13060" max="13060" width="24.5703125" style="544" customWidth="1"/>
    <col min="13061" max="13061" width="17.7109375" style="544" bestFit="1" customWidth="1"/>
    <col min="13062" max="13062" width="12.5703125" style="544" bestFit="1" customWidth="1"/>
    <col min="13063" max="13063" width="14.5703125" style="544" bestFit="1" customWidth="1"/>
    <col min="13064" max="13064" width="17.5703125" style="544" customWidth="1"/>
    <col min="13065" max="13065" width="6.42578125" style="544" customWidth="1"/>
    <col min="13066" max="13066" width="15.5703125" style="544" bestFit="1" customWidth="1"/>
    <col min="13067" max="13067" width="17.7109375" style="544" bestFit="1" customWidth="1"/>
    <col min="13068" max="13068" width="9.140625" style="544"/>
    <col min="13069" max="13069" width="10.28515625" style="544" customWidth="1"/>
    <col min="13070" max="13070" width="9.140625" style="544"/>
    <col min="13071" max="13071" width="9.28515625" style="544" customWidth="1"/>
    <col min="13072" max="13072" width="10" style="544" customWidth="1"/>
    <col min="13073" max="13314" width="9.140625" style="544"/>
    <col min="13315" max="13315" width="4.140625" style="544" customWidth="1"/>
    <col min="13316" max="13316" width="24.5703125" style="544" customWidth="1"/>
    <col min="13317" max="13317" width="17.7109375" style="544" bestFit="1" customWidth="1"/>
    <col min="13318" max="13318" width="12.5703125" style="544" bestFit="1" customWidth="1"/>
    <col min="13319" max="13319" width="14.5703125" style="544" bestFit="1" customWidth="1"/>
    <col min="13320" max="13320" width="17.5703125" style="544" customWidth="1"/>
    <col min="13321" max="13321" width="6.42578125" style="544" customWidth="1"/>
    <col min="13322" max="13322" width="15.5703125" style="544" bestFit="1" customWidth="1"/>
    <col min="13323" max="13323" width="17.7109375" style="544" bestFit="1" customWidth="1"/>
    <col min="13324" max="13324" width="9.140625" style="544"/>
    <col min="13325" max="13325" width="10.28515625" style="544" customWidth="1"/>
    <col min="13326" max="13326" width="9.140625" style="544"/>
    <col min="13327" max="13327" width="9.28515625" style="544" customWidth="1"/>
    <col min="13328" max="13328" width="10" style="544" customWidth="1"/>
    <col min="13329" max="13570" width="9.140625" style="544"/>
    <col min="13571" max="13571" width="4.140625" style="544" customWidth="1"/>
    <col min="13572" max="13572" width="24.5703125" style="544" customWidth="1"/>
    <col min="13573" max="13573" width="17.7109375" style="544" bestFit="1" customWidth="1"/>
    <col min="13574" max="13574" width="12.5703125" style="544" bestFit="1" customWidth="1"/>
    <col min="13575" max="13575" width="14.5703125" style="544" bestFit="1" customWidth="1"/>
    <col min="13576" max="13576" width="17.5703125" style="544" customWidth="1"/>
    <col min="13577" max="13577" width="6.42578125" style="544" customWidth="1"/>
    <col min="13578" max="13578" width="15.5703125" style="544" bestFit="1" customWidth="1"/>
    <col min="13579" max="13579" width="17.7109375" style="544" bestFit="1" customWidth="1"/>
    <col min="13580" max="13580" width="9.140625" style="544"/>
    <col min="13581" max="13581" width="10.28515625" style="544" customWidth="1"/>
    <col min="13582" max="13582" width="9.140625" style="544"/>
    <col min="13583" max="13583" width="9.28515625" style="544" customWidth="1"/>
    <col min="13584" max="13584" width="10" style="544" customWidth="1"/>
    <col min="13585" max="13826" width="9.140625" style="544"/>
    <col min="13827" max="13827" width="4.140625" style="544" customWidth="1"/>
    <col min="13828" max="13828" width="24.5703125" style="544" customWidth="1"/>
    <col min="13829" max="13829" width="17.7109375" style="544" bestFit="1" customWidth="1"/>
    <col min="13830" max="13830" width="12.5703125" style="544" bestFit="1" customWidth="1"/>
    <col min="13831" max="13831" width="14.5703125" style="544" bestFit="1" customWidth="1"/>
    <col min="13832" max="13832" width="17.5703125" style="544" customWidth="1"/>
    <col min="13833" max="13833" width="6.42578125" style="544" customWidth="1"/>
    <col min="13834" max="13834" width="15.5703125" style="544" bestFit="1" customWidth="1"/>
    <col min="13835" max="13835" width="17.7109375" style="544" bestFit="1" customWidth="1"/>
    <col min="13836" max="13836" width="9.140625" style="544"/>
    <col min="13837" max="13837" width="10.28515625" style="544" customWidth="1"/>
    <col min="13838" max="13838" width="9.140625" style="544"/>
    <col min="13839" max="13839" width="9.28515625" style="544" customWidth="1"/>
    <col min="13840" max="13840" width="10" style="544" customWidth="1"/>
    <col min="13841" max="14082" width="9.140625" style="544"/>
    <col min="14083" max="14083" width="4.140625" style="544" customWidth="1"/>
    <col min="14084" max="14084" width="24.5703125" style="544" customWidth="1"/>
    <col min="14085" max="14085" width="17.7109375" style="544" bestFit="1" customWidth="1"/>
    <col min="14086" max="14086" width="12.5703125" style="544" bestFit="1" customWidth="1"/>
    <col min="14087" max="14087" width="14.5703125" style="544" bestFit="1" customWidth="1"/>
    <col min="14088" max="14088" width="17.5703125" style="544" customWidth="1"/>
    <col min="14089" max="14089" width="6.42578125" style="544" customWidth="1"/>
    <col min="14090" max="14090" width="15.5703125" style="544" bestFit="1" customWidth="1"/>
    <col min="14091" max="14091" width="17.7109375" style="544" bestFit="1" customWidth="1"/>
    <col min="14092" max="14092" width="9.140625" style="544"/>
    <col min="14093" max="14093" width="10.28515625" style="544" customWidth="1"/>
    <col min="14094" max="14094" width="9.140625" style="544"/>
    <col min="14095" max="14095" width="9.28515625" style="544" customWidth="1"/>
    <col min="14096" max="14096" width="10" style="544" customWidth="1"/>
    <col min="14097" max="14338" width="9.140625" style="544"/>
    <col min="14339" max="14339" width="4.140625" style="544" customWidth="1"/>
    <col min="14340" max="14340" width="24.5703125" style="544" customWidth="1"/>
    <col min="14341" max="14341" width="17.7109375" style="544" bestFit="1" customWidth="1"/>
    <col min="14342" max="14342" width="12.5703125" style="544" bestFit="1" customWidth="1"/>
    <col min="14343" max="14343" width="14.5703125" style="544" bestFit="1" customWidth="1"/>
    <col min="14344" max="14344" width="17.5703125" style="544" customWidth="1"/>
    <col min="14345" max="14345" width="6.42578125" style="544" customWidth="1"/>
    <col min="14346" max="14346" width="15.5703125" style="544" bestFit="1" customWidth="1"/>
    <col min="14347" max="14347" width="17.7109375" style="544" bestFit="1" customWidth="1"/>
    <col min="14348" max="14348" width="9.140625" style="544"/>
    <col min="14349" max="14349" width="10.28515625" style="544" customWidth="1"/>
    <col min="14350" max="14350" width="9.140625" style="544"/>
    <col min="14351" max="14351" width="9.28515625" style="544" customWidth="1"/>
    <col min="14352" max="14352" width="10" style="544" customWidth="1"/>
    <col min="14353" max="14594" width="9.140625" style="544"/>
    <col min="14595" max="14595" width="4.140625" style="544" customWidth="1"/>
    <col min="14596" max="14596" width="24.5703125" style="544" customWidth="1"/>
    <col min="14597" max="14597" width="17.7109375" style="544" bestFit="1" customWidth="1"/>
    <col min="14598" max="14598" width="12.5703125" style="544" bestFit="1" customWidth="1"/>
    <col min="14599" max="14599" width="14.5703125" style="544" bestFit="1" customWidth="1"/>
    <col min="14600" max="14600" width="17.5703125" style="544" customWidth="1"/>
    <col min="14601" max="14601" width="6.42578125" style="544" customWidth="1"/>
    <col min="14602" max="14602" width="15.5703125" style="544" bestFit="1" customWidth="1"/>
    <col min="14603" max="14603" width="17.7109375" style="544" bestFit="1" customWidth="1"/>
    <col min="14604" max="14604" width="9.140625" style="544"/>
    <col min="14605" max="14605" width="10.28515625" style="544" customWidth="1"/>
    <col min="14606" max="14606" width="9.140625" style="544"/>
    <col min="14607" max="14607" width="9.28515625" style="544" customWidth="1"/>
    <col min="14608" max="14608" width="10" style="544" customWidth="1"/>
    <col min="14609" max="14850" width="9.140625" style="544"/>
    <col min="14851" max="14851" width="4.140625" style="544" customWidth="1"/>
    <col min="14852" max="14852" width="24.5703125" style="544" customWidth="1"/>
    <col min="14853" max="14853" width="17.7109375" style="544" bestFit="1" customWidth="1"/>
    <col min="14854" max="14854" width="12.5703125" style="544" bestFit="1" customWidth="1"/>
    <col min="14855" max="14855" width="14.5703125" style="544" bestFit="1" customWidth="1"/>
    <col min="14856" max="14856" width="17.5703125" style="544" customWidth="1"/>
    <col min="14857" max="14857" width="6.42578125" style="544" customWidth="1"/>
    <col min="14858" max="14858" width="15.5703125" style="544" bestFit="1" customWidth="1"/>
    <col min="14859" max="14859" width="17.7109375" style="544" bestFit="1" customWidth="1"/>
    <col min="14860" max="14860" width="9.140625" style="544"/>
    <col min="14861" max="14861" width="10.28515625" style="544" customWidth="1"/>
    <col min="14862" max="14862" width="9.140625" style="544"/>
    <col min="14863" max="14863" width="9.28515625" style="544" customWidth="1"/>
    <col min="14864" max="14864" width="10" style="544" customWidth="1"/>
    <col min="14865" max="15106" width="9.140625" style="544"/>
    <col min="15107" max="15107" width="4.140625" style="544" customWidth="1"/>
    <col min="15108" max="15108" width="24.5703125" style="544" customWidth="1"/>
    <col min="15109" max="15109" width="17.7109375" style="544" bestFit="1" customWidth="1"/>
    <col min="15110" max="15110" width="12.5703125" style="544" bestFit="1" customWidth="1"/>
    <col min="15111" max="15111" width="14.5703125" style="544" bestFit="1" customWidth="1"/>
    <col min="15112" max="15112" width="17.5703125" style="544" customWidth="1"/>
    <col min="15113" max="15113" width="6.42578125" style="544" customWidth="1"/>
    <col min="15114" max="15114" width="15.5703125" style="544" bestFit="1" customWidth="1"/>
    <col min="15115" max="15115" width="17.7109375" style="544" bestFit="1" customWidth="1"/>
    <col min="15116" max="15116" width="9.140625" style="544"/>
    <col min="15117" max="15117" width="10.28515625" style="544" customWidth="1"/>
    <col min="15118" max="15118" width="9.140625" style="544"/>
    <col min="15119" max="15119" width="9.28515625" style="544" customWidth="1"/>
    <col min="15120" max="15120" width="10" style="544" customWidth="1"/>
    <col min="15121" max="15362" width="9.140625" style="544"/>
    <col min="15363" max="15363" width="4.140625" style="544" customWidth="1"/>
    <col min="15364" max="15364" width="24.5703125" style="544" customWidth="1"/>
    <col min="15365" max="15365" width="17.7109375" style="544" bestFit="1" customWidth="1"/>
    <col min="15366" max="15366" width="12.5703125" style="544" bestFit="1" customWidth="1"/>
    <col min="15367" max="15367" width="14.5703125" style="544" bestFit="1" customWidth="1"/>
    <col min="15368" max="15368" width="17.5703125" style="544" customWidth="1"/>
    <col min="15369" max="15369" width="6.42578125" style="544" customWidth="1"/>
    <col min="15370" max="15370" width="15.5703125" style="544" bestFit="1" customWidth="1"/>
    <col min="15371" max="15371" width="17.7109375" style="544" bestFit="1" customWidth="1"/>
    <col min="15372" max="15372" width="9.140625" style="544"/>
    <col min="15373" max="15373" width="10.28515625" style="544" customWidth="1"/>
    <col min="15374" max="15374" width="9.140625" style="544"/>
    <col min="15375" max="15375" width="9.28515625" style="544" customWidth="1"/>
    <col min="15376" max="15376" width="10" style="544" customWidth="1"/>
    <col min="15377" max="15618" width="9.140625" style="544"/>
    <col min="15619" max="15619" width="4.140625" style="544" customWidth="1"/>
    <col min="15620" max="15620" width="24.5703125" style="544" customWidth="1"/>
    <col min="15621" max="15621" width="17.7109375" style="544" bestFit="1" customWidth="1"/>
    <col min="15622" max="15622" width="12.5703125" style="544" bestFit="1" customWidth="1"/>
    <col min="15623" max="15623" width="14.5703125" style="544" bestFit="1" customWidth="1"/>
    <col min="15624" max="15624" width="17.5703125" style="544" customWidth="1"/>
    <col min="15625" max="15625" width="6.42578125" style="544" customWidth="1"/>
    <col min="15626" max="15626" width="15.5703125" style="544" bestFit="1" customWidth="1"/>
    <col min="15627" max="15627" width="17.7109375" style="544" bestFit="1" customWidth="1"/>
    <col min="15628" max="15628" width="9.140625" style="544"/>
    <col min="15629" max="15629" width="10.28515625" style="544" customWidth="1"/>
    <col min="15630" max="15630" width="9.140625" style="544"/>
    <col min="15631" max="15631" width="9.28515625" style="544" customWidth="1"/>
    <col min="15632" max="15632" width="10" style="544" customWidth="1"/>
    <col min="15633" max="15874" width="9.140625" style="544"/>
    <col min="15875" max="15875" width="4.140625" style="544" customWidth="1"/>
    <col min="15876" max="15876" width="24.5703125" style="544" customWidth="1"/>
    <col min="15877" max="15877" width="17.7109375" style="544" bestFit="1" customWidth="1"/>
    <col min="15878" max="15878" width="12.5703125" style="544" bestFit="1" customWidth="1"/>
    <col min="15879" max="15879" width="14.5703125" style="544" bestFit="1" customWidth="1"/>
    <col min="15880" max="15880" width="17.5703125" style="544" customWidth="1"/>
    <col min="15881" max="15881" width="6.42578125" style="544" customWidth="1"/>
    <col min="15882" max="15882" width="15.5703125" style="544" bestFit="1" customWidth="1"/>
    <col min="15883" max="15883" width="17.7109375" style="544" bestFit="1" customWidth="1"/>
    <col min="15884" max="15884" width="9.140625" style="544"/>
    <col min="15885" max="15885" width="10.28515625" style="544" customWidth="1"/>
    <col min="15886" max="15886" width="9.140625" style="544"/>
    <col min="15887" max="15887" width="9.28515625" style="544" customWidth="1"/>
    <col min="15888" max="15888" width="10" style="544" customWidth="1"/>
    <col min="15889" max="16130" width="9.140625" style="544"/>
    <col min="16131" max="16131" width="4.140625" style="544" customWidth="1"/>
    <col min="16132" max="16132" width="24.5703125" style="544" customWidth="1"/>
    <col min="16133" max="16133" width="17.7109375" style="544" bestFit="1" customWidth="1"/>
    <col min="16134" max="16134" width="12.5703125" style="544" bestFit="1" customWidth="1"/>
    <col min="16135" max="16135" width="14.5703125" style="544" bestFit="1" customWidth="1"/>
    <col min="16136" max="16136" width="17.5703125" style="544" customWidth="1"/>
    <col min="16137" max="16137" width="6.42578125" style="544" customWidth="1"/>
    <col min="16138" max="16138" width="15.5703125" style="544" bestFit="1" customWidth="1"/>
    <col min="16139" max="16139" width="17.7109375" style="544" bestFit="1" customWidth="1"/>
    <col min="16140" max="16140" width="9.140625" style="544"/>
    <col min="16141" max="16141" width="10.28515625" style="544" customWidth="1"/>
    <col min="16142" max="16142" width="9.140625" style="544"/>
    <col min="16143" max="16143" width="9.28515625" style="544" customWidth="1"/>
    <col min="16144" max="16144" width="10" style="544" customWidth="1"/>
    <col min="16145" max="16384" width="9.140625" style="544"/>
  </cols>
  <sheetData>
    <row r="1" spans="2:16" ht="15" customHeight="1">
      <c r="B1" s="1610" t="s">
        <v>822</v>
      </c>
      <c r="C1" s="1611"/>
      <c r="D1" s="1611"/>
      <c r="E1" s="1611"/>
      <c r="F1" s="1611"/>
      <c r="G1" s="1611"/>
      <c r="H1" s="1611"/>
      <c r="I1" s="1611"/>
      <c r="J1" s="1611"/>
      <c r="K1" s="1612"/>
    </row>
    <row r="2" spans="2:16" ht="15" customHeight="1" thickBot="1">
      <c r="B2" s="1613" t="s">
        <v>60</v>
      </c>
      <c r="C2" s="1614"/>
      <c r="D2" s="1614"/>
      <c r="E2" s="1614"/>
      <c r="F2" s="1614"/>
      <c r="G2" s="1614"/>
      <c r="H2" s="1614"/>
      <c r="I2" s="1614"/>
      <c r="J2" s="1614"/>
      <c r="K2" s="1615"/>
    </row>
    <row r="3" spans="2:16" ht="15.75" customHeight="1">
      <c r="B3" s="44"/>
      <c r="C3" s="44"/>
      <c r="D3" s="44"/>
      <c r="E3" s="44"/>
      <c r="F3" s="44"/>
      <c r="G3" s="44"/>
      <c r="H3" s="44"/>
      <c r="I3" s="44"/>
      <c r="J3" s="550"/>
      <c r="K3" s="543"/>
    </row>
    <row r="4" spans="2:16" ht="15.75" customHeight="1" thickBot="1">
      <c r="B4" s="44"/>
      <c r="C4" s="44"/>
      <c r="D4" s="44"/>
      <c r="E4" s="44"/>
      <c r="F4" s="44"/>
      <c r="G4" s="44"/>
      <c r="H4" s="44"/>
      <c r="I4" s="44"/>
      <c r="J4" s="550"/>
      <c r="K4" s="543"/>
    </row>
    <row r="5" spans="2:16" ht="15" customHeight="1">
      <c r="B5" s="555" t="s">
        <v>868</v>
      </c>
      <c r="C5" s="1608" t="s">
        <v>900</v>
      </c>
      <c r="D5" s="1608"/>
      <c r="E5" s="1608"/>
      <c r="F5" s="1608"/>
      <c r="G5" s="1608"/>
      <c r="H5" s="1608"/>
      <c r="I5" s="1608"/>
      <c r="J5" s="1608"/>
      <c r="K5" s="1609"/>
    </row>
    <row r="6" spans="2:16" ht="15" customHeight="1">
      <c r="B6" s="570" t="s">
        <v>855</v>
      </c>
      <c r="C6" s="556" t="s">
        <v>856</v>
      </c>
      <c r="D6" s="557" t="s">
        <v>857</v>
      </c>
      <c r="E6" s="1604" t="s">
        <v>82</v>
      </c>
      <c r="F6" s="1605"/>
      <c r="G6" s="566" t="s">
        <v>869</v>
      </c>
      <c r="H6" s="557" t="s">
        <v>43</v>
      </c>
      <c r="I6" s="1606" t="s">
        <v>838</v>
      </c>
      <c r="J6" s="1607"/>
      <c r="K6" s="571" t="s">
        <v>858</v>
      </c>
    </row>
    <row r="7" spans="2:16" ht="15.75" customHeight="1">
      <c r="B7" s="572"/>
      <c r="C7" s="558"/>
      <c r="D7" s="559" t="s">
        <v>881</v>
      </c>
      <c r="E7" s="560" t="s">
        <v>859</v>
      </c>
      <c r="F7" s="554" t="s">
        <v>860</v>
      </c>
      <c r="G7" s="560"/>
      <c r="H7" s="559" t="s">
        <v>25</v>
      </c>
      <c r="I7" s="560" t="s">
        <v>861</v>
      </c>
      <c r="J7" s="561" t="s">
        <v>43</v>
      </c>
      <c r="K7" s="573" t="s">
        <v>882</v>
      </c>
    </row>
    <row r="8" spans="2:16">
      <c r="B8" s="574"/>
      <c r="C8" s="562"/>
      <c r="D8" s="551"/>
      <c r="E8" s="551"/>
      <c r="F8" s="551"/>
      <c r="G8" s="551"/>
      <c r="H8" s="551"/>
      <c r="I8" s="552"/>
      <c r="J8" s="563"/>
      <c r="K8" s="575"/>
    </row>
    <row r="9" spans="2:16">
      <c r="B9" s="574">
        <v>1</v>
      </c>
      <c r="C9" s="562" t="s">
        <v>864</v>
      </c>
      <c r="D9" s="590">
        <v>842085</v>
      </c>
      <c r="E9" s="551">
        <v>1794638</v>
      </c>
      <c r="F9" s="551">
        <v>2283966</v>
      </c>
      <c r="G9" s="551">
        <v>23871</v>
      </c>
      <c r="H9" s="568">
        <f t="shared" ref="H9:H15" si="0">(D9+E9+F9)-G9</f>
        <v>4896818</v>
      </c>
      <c r="I9" s="581"/>
      <c r="J9" s="594">
        <v>3492028.6822881442</v>
      </c>
      <c r="K9" s="576">
        <f t="shared" ref="K9:K15" si="1">H9-J9</f>
        <v>1404789.3177118558</v>
      </c>
      <c r="M9" s="545"/>
      <c r="N9" s="546"/>
      <c r="P9" s="547"/>
    </row>
    <row r="10" spans="2:16">
      <c r="B10" s="574">
        <v>2</v>
      </c>
      <c r="C10" s="562" t="s">
        <v>873</v>
      </c>
      <c r="D10" s="598">
        <v>712422</v>
      </c>
      <c r="E10" s="551">
        <v>390667</v>
      </c>
      <c r="F10" s="551">
        <v>472326</v>
      </c>
      <c r="G10" s="551">
        <v>123971</v>
      </c>
      <c r="H10" s="568">
        <f t="shared" si="0"/>
        <v>1451444</v>
      </c>
      <c r="I10" s="581"/>
      <c r="J10" s="594">
        <v>509961.06929687317</v>
      </c>
      <c r="K10" s="576">
        <f t="shared" si="1"/>
        <v>941482.93070312683</v>
      </c>
      <c r="M10" s="548"/>
      <c r="N10" s="546"/>
      <c r="P10" s="547"/>
    </row>
    <row r="11" spans="2:16">
      <c r="B11" s="574">
        <v>3</v>
      </c>
      <c r="C11" s="562" t="s">
        <v>865</v>
      </c>
      <c r="D11" s="590">
        <v>3500640</v>
      </c>
      <c r="E11" s="551">
        <v>0</v>
      </c>
      <c r="F11" s="551">
        <v>0</v>
      </c>
      <c r="G11" s="551">
        <v>0</v>
      </c>
      <c r="H11" s="568">
        <f t="shared" si="0"/>
        <v>3500640</v>
      </c>
      <c r="I11" s="581"/>
      <c r="J11" s="594">
        <v>0</v>
      </c>
      <c r="K11" s="576">
        <f t="shared" si="1"/>
        <v>3500640</v>
      </c>
      <c r="M11" s="548"/>
      <c r="N11" s="546"/>
      <c r="P11" s="547"/>
    </row>
    <row r="12" spans="2:16">
      <c r="B12" s="574">
        <v>4</v>
      </c>
      <c r="C12" s="562" t="s">
        <v>874</v>
      </c>
      <c r="D12" s="590">
        <v>354605.45</v>
      </c>
      <c r="E12" s="551">
        <v>942708</v>
      </c>
      <c r="F12" s="551">
        <v>1469803</v>
      </c>
      <c r="G12" s="551">
        <v>69780</v>
      </c>
      <c r="H12" s="568">
        <f t="shared" si="0"/>
        <v>2697336.45</v>
      </c>
      <c r="I12" s="581"/>
      <c r="J12" s="594">
        <v>1323168.0420132678</v>
      </c>
      <c r="K12" s="576">
        <f t="shared" si="1"/>
        <v>1374168.4079867324</v>
      </c>
      <c r="M12" s="548"/>
      <c r="N12" s="546"/>
      <c r="P12" s="547"/>
    </row>
    <row r="13" spans="2:16">
      <c r="B13" s="574"/>
      <c r="C13" s="562"/>
      <c r="D13" s="590"/>
      <c r="E13" s="551"/>
      <c r="F13" s="551"/>
      <c r="G13" s="551"/>
      <c r="H13" s="568">
        <f t="shared" si="0"/>
        <v>0</v>
      </c>
      <c r="I13" s="581"/>
      <c r="J13" s="594">
        <f>ROUND(((D13+E13)*I13)+(F13*I13/2),0)</f>
        <v>0</v>
      </c>
      <c r="K13" s="576">
        <f t="shared" si="1"/>
        <v>0</v>
      </c>
      <c r="M13" s="548"/>
      <c r="N13" s="546"/>
      <c r="P13" s="547"/>
    </row>
    <row r="14" spans="2:16">
      <c r="B14" s="574"/>
      <c r="C14" s="562"/>
      <c r="D14" s="590"/>
      <c r="E14" s="551"/>
      <c r="F14" s="551"/>
      <c r="G14" s="551"/>
      <c r="H14" s="568">
        <f t="shared" si="0"/>
        <v>0</v>
      </c>
      <c r="I14" s="581"/>
      <c r="J14" s="594">
        <f>ROUND(((D14+E14)*I14)+(F14*I14/2),0)</f>
        <v>0</v>
      </c>
      <c r="K14" s="576">
        <f t="shared" si="1"/>
        <v>0</v>
      </c>
      <c r="M14" s="548"/>
      <c r="N14" s="546"/>
      <c r="P14" s="547"/>
    </row>
    <row r="15" spans="2:16">
      <c r="B15" s="574"/>
      <c r="C15" s="562"/>
      <c r="D15" s="590"/>
      <c r="E15" s="551"/>
      <c r="F15" s="551"/>
      <c r="G15" s="551"/>
      <c r="H15" s="568">
        <f t="shared" si="0"/>
        <v>0</v>
      </c>
      <c r="I15" s="581"/>
      <c r="J15" s="594">
        <f>ROUND(((D15+E15)*I15)+(F15*I15/2),0)</f>
        <v>0</v>
      </c>
      <c r="K15" s="576">
        <f t="shared" si="1"/>
        <v>0</v>
      </c>
    </row>
    <row r="16" spans="2:16" ht="15.75" thickBot="1">
      <c r="B16" s="577"/>
      <c r="C16" s="578" t="s">
        <v>826</v>
      </c>
      <c r="D16" s="591">
        <f>SUM(D8:D15)</f>
        <v>5409752.4500000002</v>
      </c>
      <c r="E16" s="579">
        <f>SUM(E8:E15)</f>
        <v>3128013</v>
      </c>
      <c r="F16" s="579">
        <f>SUM(F8:F15)</f>
        <v>4226095</v>
      </c>
      <c r="G16" s="579">
        <f>SUM(G8:G15)</f>
        <v>217622</v>
      </c>
      <c r="H16" s="579">
        <f>SUM(H8:H15)</f>
        <v>12546238.449999999</v>
      </c>
      <c r="I16" s="579"/>
      <c r="J16" s="596">
        <f>SUM(J8:J15)</f>
        <v>5325157.7935982849</v>
      </c>
      <c r="K16" s="580">
        <f>SUM(K8:K15)</f>
        <v>7221080.6564017143</v>
      </c>
    </row>
    <row r="17" spans="2:16">
      <c r="D17" s="553"/>
      <c r="E17" s="553"/>
      <c r="F17" s="553"/>
      <c r="G17" s="553"/>
      <c r="H17" s="553"/>
      <c r="I17" s="553"/>
      <c r="J17" s="553"/>
      <c r="K17" s="553"/>
    </row>
    <row r="18" spans="2:16" s="549" customFormat="1" ht="15.75">
      <c r="B18" s="544"/>
      <c r="C18" s="544"/>
      <c r="D18" s="545"/>
      <c r="J18" s="599"/>
      <c r="L18" s="544"/>
      <c r="M18" s="544"/>
      <c r="N18" s="544"/>
      <c r="O18" s="544"/>
      <c r="P18" s="544"/>
    </row>
    <row r="19" spans="2:16" s="549" customFormat="1" ht="16.5" thickBot="1">
      <c r="B19" s="544"/>
      <c r="C19" s="544"/>
      <c r="D19" s="545"/>
      <c r="E19"/>
      <c r="F19" s="564"/>
      <c r="G19" s="567"/>
      <c r="H19" s="565"/>
      <c r="I19" s="565"/>
      <c r="J19" s="599"/>
      <c r="L19" s="544"/>
      <c r="M19" s="544"/>
      <c r="N19" s="544"/>
      <c r="O19" s="544"/>
      <c r="P19" s="544"/>
    </row>
    <row r="20" spans="2:16" ht="15" customHeight="1">
      <c r="B20" s="555"/>
      <c r="C20" s="1608" t="s">
        <v>894</v>
      </c>
      <c r="D20" s="1608"/>
      <c r="E20" s="1608"/>
      <c r="F20" s="1608"/>
      <c r="G20" s="1608"/>
      <c r="H20" s="1608"/>
      <c r="I20" s="1608"/>
      <c r="J20" s="1608"/>
      <c r="K20" s="1609"/>
    </row>
    <row r="21" spans="2:16" ht="15" customHeight="1">
      <c r="B21" s="570" t="s">
        <v>855</v>
      </c>
      <c r="C21" s="556" t="s">
        <v>856</v>
      </c>
      <c r="D21" s="557" t="s">
        <v>857</v>
      </c>
      <c r="E21" s="1604" t="s">
        <v>82</v>
      </c>
      <c r="F21" s="1605"/>
      <c r="G21" s="566" t="s">
        <v>869</v>
      </c>
      <c r="H21" s="557" t="s">
        <v>43</v>
      </c>
      <c r="I21" s="1606" t="s">
        <v>838</v>
      </c>
      <c r="J21" s="1607"/>
      <c r="K21" s="571" t="s">
        <v>858</v>
      </c>
    </row>
    <row r="22" spans="2:16" ht="15.75" customHeight="1">
      <c r="B22" s="572"/>
      <c r="C22" s="558"/>
      <c r="D22" s="559" t="s">
        <v>881</v>
      </c>
      <c r="E22" s="560" t="s">
        <v>859</v>
      </c>
      <c r="F22" s="554" t="s">
        <v>860</v>
      </c>
      <c r="G22" s="560"/>
      <c r="H22" s="559" t="s">
        <v>25</v>
      </c>
      <c r="I22" s="560" t="s">
        <v>861</v>
      </c>
      <c r="J22" s="561" t="s">
        <v>43</v>
      </c>
      <c r="K22" s="573" t="s">
        <v>882</v>
      </c>
    </row>
    <row r="23" spans="2:16">
      <c r="B23" s="574"/>
      <c r="C23" s="562"/>
      <c r="D23" s="551"/>
      <c r="E23" s="551"/>
      <c r="F23" s="551"/>
      <c r="G23" s="551"/>
      <c r="H23" s="551"/>
      <c r="I23" s="552"/>
      <c r="J23" s="563"/>
      <c r="K23" s="575"/>
    </row>
    <row r="24" spans="2:16">
      <c r="B24" s="574">
        <v>1</v>
      </c>
      <c r="C24" s="562" t="s">
        <v>864</v>
      </c>
      <c r="D24" s="551">
        <v>0</v>
      </c>
      <c r="E24" s="551">
        <v>1370609</v>
      </c>
      <c r="F24" s="551">
        <v>2262297</v>
      </c>
      <c r="G24" s="551">
        <v>0</v>
      </c>
      <c r="H24" s="568">
        <f t="shared" ref="H24:H30" si="2">(D24+E24+F24)-G24</f>
        <v>3632906</v>
      </c>
      <c r="I24" s="581"/>
      <c r="J24" s="594">
        <v>2482861.75</v>
      </c>
      <c r="K24" s="576">
        <f t="shared" ref="K24:K30" si="3">H24-J24</f>
        <v>1150044.25</v>
      </c>
      <c r="M24" s="545"/>
      <c r="N24" s="546"/>
      <c r="P24" s="547"/>
    </row>
    <row r="25" spans="2:16">
      <c r="B25" s="574">
        <v>2</v>
      </c>
      <c r="C25" s="562" t="s">
        <v>873</v>
      </c>
      <c r="D25" s="551">
        <v>0</v>
      </c>
      <c r="E25" s="551">
        <v>313601</v>
      </c>
      <c r="F25" s="551">
        <v>423671</v>
      </c>
      <c r="G25" s="551">
        <v>0</v>
      </c>
      <c r="H25" s="568">
        <f t="shared" si="2"/>
        <v>737272</v>
      </c>
      <c r="I25" s="581"/>
      <c r="J25" s="594">
        <v>235207.09806839848</v>
      </c>
      <c r="K25" s="576">
        <f t="shared" si="3"/>
        <v>502064.90193160152</v>
      </c>
      <c r="M25" s="548"/>
      <c r="N25" s="546"/>
      <c r="P25" s="547"/>
    </row>
    <row r="26" spans="2:16">
      <c r="B26" s="574">
        <v>3</v>
      </c>
      <c r="C26" s="562" t="s">
        <v>865</v>
      </c>
      <c r="D26" s="551">
        <v>0</v>
      </c>
      <c r="E26" s="551">
        <v>0</v>
      </c>
      <c r="F26" s="551">
        <v>0</v>
      </c>
      <c r="G26" s="551">
        <v>0</v>
      </c>
      <c r="H26" s="568">
        <f t="shared" si="2"/>
        <v>0</v>
      </c>
      <c r="I26" s="581"/>
      <c r="J26" s="594">
        <v>0</v>
      </c>
      <c r="K26" s="576">
        <f t="shared" si="3"/>
        <v>0</v>
      </c>
      <c r="M26" s="548"/>
      <c r="N26" s="546"/>
      <c r="P26" s="547"/>
    </row>
    <row r="27" spans="2:16">
      <c r="B27" s="574">
        <v>4</v>
      </c>
      <c r="C27" s="562" t="s">
        <v>874</v>
      </c>
      <c r="D27" s="551">
        <v>0</v>
      </c>
      <c r="E27" s="551">
        <v>857680</v>
      </c>
      <c r="F27" s="551">
        <v>1341338</v>
      </c>
      <c r="G27" s="551">
        <v>0</v>
      </c>
      <c r="H27" s="568">
        <f t="shared" si="2"/>
        <v>2199018</v>
      </c>
      <c r="I27" s="581"/>
      <c r="J27" s="594">
        <v>1055469.9437620861</v>
      </c>
      <c r="K27" s="576">
        <f t="shared" si="3"/>
        <v>1143548.0562379139</v>
      </c>
      <c r="M27" s="548"/>
      <c r="N27" s="546"/>
      <c r="P27" s="547"/>
    </row>
    <row r="28" spans="2:16">
      <c r="B28" s="574"/>
      <c r="C28" s="562"/>
      <c r="D28" s="551"/>
      <c r="E28" s="551"/>
      <c r="F28" s="551"/>
      <c r="G28" s="551"/>
      <c r="H28" s="568">
        <f t="shared" si="2"/>
        <v>0</v>
      </c>
      <c r="I28" s="581"/>
      <c r="J28" s="594">
        <f>ROUND(((D28+E28)*I28)+(F28*I28/2),0)</f>
        <v>0</v>
      </c>
      <c r="K28" s="576">
        <f t="shared" si="3"/>
        <v>0</v>
      </c>
      <c r="M28" s="548"/>
      <c r="N28" s="546"/>
      <c r="P28" s="547"/>
    </row>
    <row r="29" spans="2:16">
      <c r="B29" s="574"/>
      <c r="C29" s="562"/>
      <c r="D29" s="551"/>
      <c r="E29" s="551"/>
      <c r="F29" s="551"/>
      <c r="G29" s="551"/>
      <c r="H29" s="568">
        <f t="shared" si="2"/>
        <v>0</v>
      </c>
      <c r="I29" s="581"/>
      <c r="J29" s="594">
        <f>ROUND(((D29+E29)*I29)+(F29*I29/2),0)</f>
        <v>0</v>
      </c>
      <c r="K29" s="576">
        <f t="shared" si="3"/>
        <v>0</v>
      </c>
      <c r="M29" s="548"/>
      <c r="N29" s="546"/>
      <c r="P29" s="547"/>
    </row>
    <row r="30" spans="2:16">
      <c r="B30" s="574"/>
      <c r="C30" s="562"/>
      <c r="D30" s="551"/>
      <c r="E30" s="551"/>
      <c r="F30" s="551"/>
      <c r="G30" s="551"/>
      <c r="H30" s="568">
        <f t="shared" si="2"/>
        <v>0</v>
      </c>
      <c r="I30" s="581"/>
      <c r="J30" s="594">
        <f>ROUND(((D30+E30)*I30)+(F30*I30/2),0)</f>
        <v>0</v>
      </c>
      <c r="K30" s="576">
        <f t="shared" si="3"/>
        <v>0</v>
      </c>
    </row>
    <row r="31" spans="2:16" ht="15.75" thickBot="1">
      <c r="B31" s="577"/>
      <c r="C31" s="578" t="s">
        <v>826</v>
      </c>
      <c r="D31" s="579">
        <f>SUM(D23:D30)</f>
        <v>0</v>
      </c>
      <c r="E31" s="579">
        <f>SUM(E23:E30)</f>
        <v>2541890</v>
      </c>
      <c r="F31" s="579">
        <f>SUM(F23:F30)</f>
        <v>4027306</v>
      </c>
      <c r="G31" s="579">
        <f>SUM(G23:G30)</f>
        <v>0</v>
      </c>
      <c r="H31" s="579">
        <f>SUM(H23:H30)</f>
        <v>6569196</v>
      </c>
      <c r="I31" s="579"/>
      <c r="J31" s="596">
        <f>SUM(J23:J30)</f>
        <v>3773538.7918304848</v>
      </c>
      <c r="K31" s="580">
        <f>SUM(K23:K30)</f>
        <v>2795657.2081695152</v>
      </c>
    </row>
    <row r="32" spans="2:16" s="549" customFormat="1" ht="15.75">
      <c r="B32" s="544"/>
      <c r="C32" s="544"/>
      <c r="D32" s="548"/>
      <c r="L32" s="544"/>
      <c r="M32" s="544"/>
      <c r="N32" s="544"/>
      <c r="O32" s="544"/>
      <c r="P32" s="544"/>
    </row>
    <row r="33" spans="2:16" s="549" customFormat="1" ht="16.5" thickBot="1">
      <c r="B33" s="544"/>
      <c r="C33" s="544"/>
      <c r="D33" s="548"/>
      <c r="L33" s="544"/>
      <c r="M33" s="544"/>
      <c r="N33" s="544"/>
      <c r="O33" s="544"/>
      <c r="P33" s="544"/>
    </row>
    <row r="34" spans="2:16" ht="15" customHeight="1">
      <c r="B34" s="555"/>
      <c r="C34" s="1608" t="s">
        <v>901</v>
      </c>
      <c r="D34" s="1608"/>
      <c r="E34" s="1608"/>
      <c r="F34" s="1608"/>
      <c r="G34" s="1608"/>
      <c r="H34" s="1608"/>
      <c r="I34" s="1608"/>
      <c r="J34" s="1608"/>
      <c r="K34" s="1609"/>
    </row>
    <row r="35" spans="2:16" ht="15" customHeight="1">
      <c r="B35" s="570" t="s">
        <v>855</v>
      </c>
      <c r="C35" s="556" t="s">
        <v>856</v>
      </c>
      <c r="D35" s="557" t="s">
        <v>857</v>
      </c>
      <c r="E35" s="1604" t="s">
        <v>82</v>
      </c>
      <c r="F35" s="1605"/>
      <c r="G35" s="566" t="s">
        <v>869</v>
      </c>
      <c r="H35" s="557" t="s">
        <v>43</v>
      </c>
      <c r="I35" s="1606" t="s">
        <v>838</v>
      </c>
      <c r="J35" s="1607"/>
      <c r="K35" s="571" t="s">
        <v>858</v>
      </c>
    </row>
    <row r="36" spans="2:16" ht="15.75" customHeight="1">
      <c r="B36" s="572"/>
      <c r="C36" s="558"/>
      <c r="D36" s="559" t="s">
        <v>881</v>
      </c>
      <c r="E36" s="560" t="s">
        <v>859</v>
      </c>
      <c r="F36" s="554" t="s">
        <v>860</v>
      </c>
      <c r="G36" s="560"/>
      <c r="H36" s="559" t="s">
        <v>25</v>
      </c>
      <c r="I36" s="560" t="s">
        <v>861</v>
      </c>
      <c r="J36" s="561" t="s">
        <v>43</v>
      </c>
      <c r="K36" s="573" t="s">
        <v>882</v>
      </c>
    </row>
    <row r="37" spans="2:16">
      <c r="B37" s="574"/>
      <c r="C37" s="562"/>
      <c r="D37" s="551"/>
      <c r="E37" s="551"/>
      <c r="F37" s="551"/>
      <c r="G37" s="551"/>
      <c r="H37" s="551"/>
      <c r="I37" s="552"/>
      <c r="J37" s="563"/>
      <c r="K37" s="575"/>
    </row>
    <row r="38" spans="2:16">
      <c r="B38" s="574">
        <v>1</v>
      </c>
      <c r="C38" s="562" t="s">
        <v>864</v>
      </c>
      <c r="D38" s="590">
        <f>'Master FA 2014-15 revised'!K8</f>
        <v>279654</v>
      </c>
      <c r="E38" s="551"/>
      <c r="F38" s="551"/>
      <c r="G38" s="551">
        <v>0</v>
      </c>
      <c r="H38" s="568">
        <f t="shared" ref="H38:H44" si="4">(D38+E38+F38)-G38</f>
        <v>279654</v>
      </c>
      <c r="I38" s="581"/>
      <c r="J38" s="594">
        <v>225905</v>
      </c>
      <c r="K38" s="576">
        <f t="shared" ref="K38:K44" si="5">H38-J38</f>
        <v>53749</v>
      </c>
      <c r="M38" s="545"/>
      <c r="N38" s="546"/>
      <c r="P38" s="547"/>
    </row>
    <row r="39" spans="2:16">
      <c r="B39" s="574">
        <v>2</v>
      </c>
      <c r="C39" s="562" t="s">
        <v>873</v>
      </c>
      <c r="D39" s="590">
        <f>'Master FA 2014-15 revised'!K9</f>
        <v>263806</v>
      </c>
      <c r="E39" s="551"/>
      <c r="F39" s="551"/>
      <c r="G39" s="551">
        <v>0</v>
      </c>
      <c r="H39" s="568">
        <f t="shared" si="4"/>
        <v>263806</v>
      </c>
      <c r="I39" s="581"/>
      <c r="J39" s="594">
        <v>91877</v>
      </c>
      <c r="K39" s="576">
        <f t="shared" si="5"/>
        <v>171929</v>
      </c>
      <c r="M39" s="548"/>
      <c r="N39" s="546"/>
      <c r="P39" s="547"/>
    </row>
    <row r="40" spans="2:16">
      <c r="B40" s="574">
        <v>3</v>
      </c>
      <c r="C40" s="562" t="s">
        <v>865</v>
      </c>
      <c r="D40" s="590">
        <v>0</v>
      </c>
      <c r="E40" s="551"/>
      <c r="F40" s="551"/>
      <c r="G40" s="551">
        <v>0</v>
      </c>
      <c r="H40" s="568">
        <f t="shared" si="4"/>
        <v>0</v>
      </c>
      <c r="I40" s="581"/>
      <c r="J40" s="594">
        <v>0</v>
      </c>
      <c r="K40" s="576">
        <f t="shared" si="5"/>
        <v>0</v>
      </c>
      <c r="M40" s="548"/>
      <c r="N40" s="546"/>
      <c r="P40" s="547"/>
    </row>
    <row r="41" spans="2:16">
      <c r="B41" s="574">
        <v>4</v>
      </c>
      <c r="C41" s="562" t="s">
        <v>874</v>
      </c>
      <c r="D41" s="590">
        <f>'Master FA 2014-15 revised'!K11</f>
        <v>196495</v>
      </c>
      <c r="E41" s="551"/>
      <c r="F41" s="551"/>
      <c r="G41" s="551">
        <v>0</v>
      </c>
      <c r="H41" s="568">
        <f t="shared" si="4"/>
        <v>196495</v>
      </c>
      <c r="I41" s="581"/>
      <c r="J41" s="594">
        <v>106001</v>
      </c>
      <c r="K41" s="576">
        <f t="shared" si="5"/>
        <v>90494</v>
      </c>
      <c r="M41" s="548"/>
      <c r="N41" s="546"/>
      <c r="P41" s="547"/>
    </row>
    <row r="42" spans="2:16">
      <c r="B42" s="574"/>
      <c r="C42" s="562"/>
      <c r="D42" s="590"/>
      <c r="E42" s="551"/>
      <c r="F42" s="551"/>
      <c r="G42" s="551"/>
      <c r="H42" s="568">
        <f t="shared" si="4"/>
        <v>0</v>
      </c>
      <c r="I42" s="581"/>
      <c r="J42" s="594">
        <f>ROUND(((D42+E42)*I42)+(F42*I42/2),0)</f>
        <v>0</v>
      </c>
      <c r="K42" s="576">
        <f t="shared" si="5"/>
        <v>0</v>
      </c>
      <c r="M42" s="548"/>
      <c r="N42" s="546"/>
      <c r="P42" s="547"/>
    </row>
    <row r="43" spans="2:16">
      <c r="B43" s="574"/>
      <c r="C43" s="562"/>
      <c r="D43" s="590"/>
      <c r="E43" s="551"/>
      <c r="F43" s="551"/>
      <c r="G43" s="551"/>
      <c r="H43" s="568">
        <f t="shared" si="4"/>
        <v>0</v>
      </c>
      <c r="I43" s="581"/>
      <c r="J43" s="594">
        <f>ROUND(((D43+E43)*I43)+(F43*I43/2),0)</f>
        <v>0</v>
      </c>
      <c r="K43" s="576">
        <f t="shared" si="5"/>
        <v>0</v>
      </c>
      <c r="M43" s="548"/>
      <c r="N43" s="546"/>
      <c r="P43" s="547"/>
    </row>
    <row r="44" spans="2:16">
      <c r="B44" s="574"/>
      <c r="C44" s="562"/>
      <c r="D44" s="590"/>
      <c r="E44" s="551"/>
      <c r="F44" s="551"/>
      <c r="G44" s="551"/>
      <c r="H44" s="568">
        <f t="shared" si="4"/>
        <v>0</v>
      </c>
      <c r="I44" s="581"/>
      <c r="J44" s="594">
        <f>ROUND(((D44+E44)*I44)+(F44*I44/2),0)</f>
        <v>0</v>
      </c>
      <c r="K44" s="576">
        <f t="shared" si="5"/>
        <v>0</v>
      </c>
    </row>
    <row r="45" spans="2:16" ht="15.75" thickBot="1">
      <c r="B45" s="577"/>
      <c r="C45" s="578" t="s">
        <v>826</v>
      </c>
      <c r="D45" s="591">
        <f>SUM(D37:D44)</f>
        <v>739955</v>
      </c>
      <c r="E45" s="579">
        <f>SUM(E37:E44)</f>
        <v>0</v>
      </c>
      <c r="F45" s="579">
        <f>SUM(F37:F44)</f>
        <v>0</v>
      </c>
      <c r="G45" s="579">
        <f>SUM(G37:G44)</f>
        <v>0</v>
      </c>
      <c r="H45" s="579">
        <f>SUM(H37:H44)</f>
        <v>739955</v>
      </c>
      <c r="I45" s="579"/>
      <c r="J45" s="596">
        <f>SUM(J37:J44)</f>
        <v>423783</v>
      </c>
      <c r="K45" s="580">
        <f>SUM(K37:K44)</f>
        <v>316172</v>
      </c>
    </row>
    <row r="48" spans="2:16" ht="15.75" thickBot="1"/>
    <row r="49" spans="2:16" ht="15" customHeight="1">
      <c r="B49" s="555"/>
      <c r="C49" s="1608" t="s">
        <v>897</v>
      </c>
      <c r="D49" s="1608"/>
      <c r="E49" s="1608"/>
      <c r="F49" s="1608"/>
      <c r="G49" s="1608"/>
      <c r="H49" s="1608"/>
      <c r="I49" s="1608"/>
      <c r="J49" s="1608"/>
      <c r="K49" s="1609"/>
    </row>
    <row r="50" spans="2:16" ht="15" customHeight="1">
      <c r="B50" s="570" t="s">
        <v>855</v>
      </c>
      <c r="C50" s="556" t="s">
        <v>856</v>
      </c>
      <c r="D50" s="557" t="s">
        <v>857</v>
      </c>
      <c r="E50" s="1604" t="s">
        <v>82</v>
      </c>
      <c r="F50" s="1605"/>
      <c r="G50" s="566" t="s">
        <v>869</v>
      </c>
      <c r="H50" s="557" t="s">
        <v>43</v>
      </c>
      <c r="I50" s="1606" t="s">
        <v>838</v>
      </c>
      <c r="J50" s="1607"/>
      <c r="K50" s="571" t="s">
        <v>858</v>
      </c>
    </row>
    <row r="51" spans="2:16" ht="15.75" customHeight="1">
      <c r="B51" s="572"/>
      <c r="C51" s="558"/>
      <c r="D51" s="559" t="s">
        <v>881</v>
      </c>
      <c r="E51" s="560" t="s">
        <v>859</v>
      </c>
      <c r="F51" s="554" t="s">
        <v>860</v>
      </c>
      <c r="G51" s="560"/>
      <c r="H51" s="559" t="s">
        <v>25</v>
      </c>
      <c r="I51" s="560" t="s">
        <v>861</v>
      </c>
      <c r="J51" s="561" t="s">
        <v>43</v>
      </c>
      <c r="K51" s="573" t="s">
        <v>882</v>
      </c>
    </row>
    <row r="52" spans="2:16">
      <c r="B52" s="574"/>
      <c r="C52" s="562"/>
      <c r="D52" s="551"/>
      <c r="E52" s="551"/>
      <c r="F52" s="551"/>
      <c r="G52" s="551"/>
      <c r="H52" s="551"/>
      <c r="I52" s="552"/>
      <c r="J52" s="563"/>
      <c r="K52" s="575"/>
    </row>
    <row r="53" spans="2:16">
      <c r="B53" s="574">
        <v>1</v>
      </c>
      <c r="C53" s="562" t="s">
        <v>864</v>
      </c>
      <c r="D53" s="590">
        <f>'Master FA 2014-15 revised'!K22</f>
        <v>562431</v>
      </c>
      <c r="E53" s="551">
        <v>411804</v>
      </c>
      <c r="F53" s="551">
        <v>10023</v>
      </c>
      <c r="G53" s="551">
        <v>0</v>
      </c>
      <c r="H53" s="568">
        <f t="shared" ref="H53:H59" si="6">(D53+E53+F53)-G53</f>
        <v>984258</v>
      </c>
      <c r="I53" s="581"/>
      <c r="J53" s="594">
        <v>783262</v>
      </c>
      <c r="K53" s="576">
        <f t="shared" ref="K53:K59" si="7">H53-J53</f>
        <v>200996</v>
      </c>
      <c r="M53" s="545"/>
      <c r="N53" s="546"/>
      <c r="P53" s="547"/>
    </row>
    <row r="54" spans="2:16">
      <c r="B54" s="574">
        <v>2</v>
      </c>
      <c r="C54" s="562" t="s">
        <v>873</v>
      </c>
      <c r="D54" s="590">
        <f>'Master FA 2014-15 revised'!K23</f>
        <v>448616</v>
      </c>
      <c r="E54" s="551">
        <v>1750</v>
      </c>
      <c r="F54" s="551">
        <v>0</v>
      </c>
      <c r="G54" s="551">
        <v>0</v>
      </c>
      <c r="H54" s="568">
        <f t="shared" si="6"/>
        <v>450366</v>
      </c>
      <c r="I54" s="581"/>
      <c r="J54" s="594">
        <v>182877</v>
      </c>
      <c r="K54" s="576">
        <f t="shared" si="7"/>
        <v>267489</v>
      </c>
      <c r="M54" s="548"/>
      <c r="N54" s="546"/>
      <c r="P54" s="547"/>
    </row>
    <row r="55" spans="2:16">
      <c r="B55" s="574">
        <v>3</v>
      </c>
      <c r="C55" s="562" t="s">
        <v>865</v>
      </c>
      <c r="D55" s="590">
        <f>'Master FA 2014-15 revised'!K24</f>
        <v>3500640</v>
      </c>
      <c r="E55" s="551">
        <v>0</v>
      </c>
      <c r="F55" s="551">
        <v>0</v>
      </c>
      <c r="G55" s="551">
        <v>0</v>
      </c>
      <c r="H55" s="568">
        <f t="shared" si="6"/>
        <v>3500640</v>
      </c>
      <c r="I55" s="581"/>
      <c r="J55" s="594">
        <v>0</v>
      </c>
      <c r="K55" s="576">
        <f t="shared" si="7"/>
        <v>3500640</v>
      </c>
      <c r="M55" s="548"/>
      <c r="N55" s="546"/>
      <c r="P55" s="547"/>
    </row>
    <row r="56" spans="2:16">
      <c r="B56" s="574">
        <v>4</v>
      </c>
      <c r="C56" s="562" t="s">
        <v>874</v>
      </c>
      <c r="D56" s="590">
        <f>'Master FA 2014-15 revised'!K25</f>
        <v>158110.45000000001</v>
      </c>
      <c r="E56" s="551">
        <v>45780</v>
      </c>
      <c r="F56" s="551">
        <v>99402</v>
      </c>
      <c r="G56" s="551">
        <v>1469</v>
      </c>
      <c r="H56" s="568">
        <f t="shared" si="6"/>
        <v>301823.45</v>
      </c>
      <c r="I56" s="581"/>
      <c r="J56" s="594">
        <v>161697</v>
      </c>
      <c r="K56" s="576">
        <f t="shared" si="7"/>
        <v>140126.45000000001</v>
      </c>
      <c r="M56" s="548"/>
      <c r="N56" s="546"/>
      <c r="P56" s="547"/>
    </row>
    <row r="57" spans="2:16">
      <c r="B57" s="574"/>
      <c r="C57" s="562"/>
      <c r="D57" s="590"/>
      <c r="E57" s="551"/>
      <c r="F57" s="551"/>
      <c r="G57" s="551"/>
      <c r="H57" s="568">
        <f t="shared" si="6"/>
        <v>0</v>
      </c>
      <c r="I57" s="581"/>
      <c r="J57" s="594">
        <f>ROUND(((D57+E57)*I57)+(F57*I57/2),0)</f>
        <v>0</v>
      </c>
      <c r="K57" s="576">
        <f t="shared" si="7"/>
        <v>0</v>
      </c>
      <c r="M57" s="548"/>
      <c r="N57" s="546"/>
      <c r="P57" s="547"/>
    </row>
    <row r="58" spans="2:16">
      <c r="B58" s="574"/>
      <c r="C58" s="562"/>
      <c r="D58" s="590"/>
      <c r="E58" s="551"/>
      <c r="F58" s="551"/>
      <c r="G58" s="551"/>
      <c r="H58" s="568">
        <f t="shared" si="6"/>
        <v>0</v>
      </c>
      <c r="I58" s="581"/>
      <c r="J58" s="594">
        <f>ROUND(((D58+E58)*I58)+(F58*I58/2),0)</f>
        <v>0</v>
      </c>
      <c r="K58" s="576">
        <f t="shared" si="7"/>
        <v>0</v>
      </c>
      <c r="M58" s="548"/>
      <c r="N58" s="546"/>
      <c r="P58" s="547"/>
    </row>
    <row r="59" spans="2:16">
      <c r="B59" s="574"/>
      <c r="C59" s="562"/>
      <c r="D59" s="590"/>
      <c r="E59" s="551"/>
      <c r="F59" s="551"/>
      <c r="G59" s="551"/>
      <c r="H59" s="568">
        <f t="shared" si="6"/>
        <v>0</v>
      </c>
      <c r="I59" s="581"/>
      <c r="J59" s="594">
        <f>ROUND(((D59+E59)*I59)+(F59*I59/2),0)</f>
        <v>0</v>
      </c>
      <c r="K59" s="576">
        <f t="shared" si="7"/>
        <v>0</v>
      </c>
    </row>
    <row r="60" spans="2:16" ht="15.75" thickBot="1">
      <c r="B60" s="577"/>
      <c r="C60" s="578" t="s">
        <v>826</v>
      </c>
      <c r="D60" s="591">
        <f>SUM(D52:D59)</f>
        <v>4669797.45</v>
      </c>
      <c r="E60" s="579">
        <f>SUM(E52:E59)</f>
        <v>459334</v>
      </c>
      <c r="F60" s="579">
        <f>SUM(F52:F59)</f>
        <v>109425</v>
      </c>
      <c r="G60" s="579">
        <f>SUM(G52:G59)</f>
        <v>1469</v>
      </c>
      <c r="H60" s="579">
        <f>SUM(H52:H59)</f>
        <v>5237087.45</v>
      </c>
      <c r="I60" s="579"/>
      <c r="J60" s="596">
        <f>SUM(J52:J59)</f>
        <v>1127836</v>
      </c>
      <c r="K60" s="580">
        <f>SUM(K52:K59)</f>
        <v>4109251.45</v>
      </c>
    </row>
    <row r="61" spans="2:16" ht="15.75" thickBot="1">
      <c r="D61" s="599"/>
    </row>
    <row r="62" spans="2:16" ht="13.5" thickBot="1">
      <c r="B62" s="583"/>
      <c r="C62" s="584" t="s">
        <v>902</v>
      </c>
      <c r="D62" s="597">
        <f>D60+D45+D31</f>
        <v>5409752.4500000002</v>
      </c>
      <c r="E62" s="585">
        <f t="shared" ref="E62:K62" si="8">E60+E45+E31</f>
        <v>3001224</v>
      </c>
      <c r="F62" s="585">
        <f t="shared" si="8"/>
        <v>4136731</v>
      </c>
      <c r="G62" s="585">
        <f t="shared" si="8"/>
        <v>1469</v>
      </c>
      <c r="H62" s="585">
        <f t="shared" si="8"/>
        <v>12546238.449999999</v>
      </c>
      <c r="I62" s="585">
        <f t="shared" si="8"/>
        <v>0</v>
      </c>
      <c r="J62" s="597">
        <f t="shared" si="8"/>
        <v>5325157.7918304848</v>
      </c>
      <c r="K62" s="586">
        <f t="shared" si="8"/>
        <v>7221080.6581695154</v>
      </c>
    </row>
    <row r="64" spans="2:16">
      <c r="J64" s="549">
        <f>+J60</f>
        <v>1127836</v>
      </c>
      <c r="K64" s="549" t="s">
        <v>903</v>
      </c>
    </row>
    <row r="65" spans="10:11">
      <c r="J65" s="549">
        <f>+J45+J31</f>
        <v>4197321.7918304848</v>
      </c>
      <c r="K65" s="549" t="s">
        <v>904</v>
      </c>
    </row>
    <row r="66" spans="10:11">
      <c r="J66" s="549">
        <f>+J65+J64</f>
        <v>5325157.7918304848</v>
      </c>
    </row>
  </sheetData>
  <mergeCells count="14">
    <mergeCell ref="C49:K49"/>
    <mergeCell ref="E50:F50"/>
    <mergeCell ref="I50:J50"/>
    <mergeCell ref="B1:K1"/>
    <mergeCell ref="B2:K2"/>
    <mergeCell ref="E21:F21"/>
    <mergeCell ref="I21:J21"/>
    <mergeCell ref="C5:K5"/>
    <mergeCell ref="C20:K20"/>
    <mergeCell ref="C34:K34"/>
    <mergeCell ref="E35:F35"/>
    <mergeCell ref="I35:J35"/>
    <mergeCell ref="E6:F6"/>
    <mergeCell ref="I6:J6"/>
  </mergeCells>
  <pageMargins left="0.74803149606299213" right="0.74803149606299213" top="0.98425196850393704" bottom="0.98425196850393704" header="0.51181102362204722" footer="0.51181102362204722"/>
  <pageSetup scale="96"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1:P36"/>
  <sheetViews>
    <sheetView topLeftCell="A6" workbookViewId="0">
      <selection activeCell="B41" sqref="B41"/>
    </sheetView>
  </sheetViews>
  <sheetFormatPr defaultRowHeight="15"/>
  <cols>
    <col min="3" max="3" width="24.42578125" customWidth="1"/>
    <col min="4" max="4" width="15.5703125" bestFit="1" customWidth="1"/>
    <col min="5" max="5" width="11.28515625" bestFit="1" customWidth="1"/>
    <col min="6" max="6" width="15.85546875" bestFit="1" customWidth="1"/>
    <col min="7" max="7" width="9.28515625" bestFit="1" customWidth="1"/>
    <col min="8" max="8" width="15.85546875" bestFit="1" customWidth="1"/>
    <col min="9" max="9" width="9.28515625" bestFit="1" customWidth="1"/>
    <col min="10" max="10" width="15.7109375" bestFit="1" customWidth="1"/>
    <col min="11" max="11" width="15.5703125" bestFit="1" customWidth="1"/>
    <col min="13" max="13" width="13.140625" bestFit="1" customWidth="1"/>
  </cols>
  <sheetData>
    <row r="1" spans="2:16" s="544" customFormat="1" ht="15" customHeight="1">
      <c r="B1" s="1610" t="s">
        <v>822</v>
      </c>
      <c r="C1" s="1611"/>
      <c r="D1" s="1611"/>
      <c r="E1" s="1611"/>
      <c r="F1" s="1611"/>
      <c r="G1" s="1611"/>
      <c r="H1" s="1611"/>
      <c r="I1" s="1611"/>
      <c r="J1" s="1611"/>
      <c r="K1" s="1612"/>
    </row>
    <row r="2" spans="2:16" s="544" customFormat="1" ht="15" customHeight="1" thickBot="1">
      <c r="B2" s="1613" t="s">
        <v>60</v>
      </c>
      <c r="C2" s="1614"/>
      <c r="D2" s="1614"/>
      <c r="E2" s="1614"/>
      <c r="F2" s="1614"/>
      <c r="G2" s="1614"/>
      <c r="H2" s="1614"/>
      <c r="I2" s="1614"/>
      <c r="J2" s="1614"/>
      <c r="K2" s="1615"/>
    </row>
    <row r="3" spans="2:16" ht="15.75" thickBot="1"/>
    <row r="4" spans="2:16" s="544" customFormat="1" ht="15" customHeight="1">
      <c r="B4" s="555" t="s">
        <v>896</v>
      </c>
      <c r="C4" s="1608" t="s">
        <v>895</v>
      </c>
      <c r="D4" s="1608"/>
      <c r="E4" s="1608"/>
      <c r="F4" s="1608"/>
      <c r="G4" s="1608"/>
      <c r="H4" s="1608"/>
      <c r="I4" s="1608"/>
      <c r="J4" s="1608"/>
      <c r="K4" s="1609"/>
    </row>
    <row r="5" spans="2:16" s="544" customFormat="1" ht="15" customHeight="1">
      <c r="B5" s="570" t="s">
        <v>855</v>
      </c>
      <c r="C5" s="556" t="s">
        <v>856</v>
      </c>
      <c r="D5" s="557" t="s">
        <v>857</v>
      </c>
      <c r="E5" s="1604" t="s">
        <v>82</v>
      </c>
      <c r="F5" s="1605"/>
      <c r="G5" s="566" t="s">
        <v>869</v>
      </c>
      <c r="H5" s="557" t="s">
        <v>43</v>
      </c>
      <c r="I5" s="1606" t="s">
        <v>838</v>
      </c>
      <c r="J5" s="1607"/>
      <c r="K5" s="571" t="s">
        <v>858</v>
      </c>
    </row>
    <row r="6" spans="2:16" s="544" customFormat="1" ht="15.75" customHeight="1">
      <c r="B6" s="572"/>
      <c r="C6" s="558"/>
      <c r="D6" s="559" t="s">
        <v>881</v>
      </c>
      <c r="E6" s="560" t="s">
        <v>859</v>
      </c>
      <c r="F6" s="554" t="s">
        <v>860</v>
      </c>
      <c r="G6" s="560"/>
      <c r="H6" s="559" t="s">
        <v>25</v>
      </c>
      <c r="I6" s="560" t="s">
        <v>861</v>
      </c>
      <c r="J6" s="561" t="s">
        <v>43</v>
      </c>
      <c r="K6" s="573" t="s">
        <v>882</v>
      </c>
    </row>
    <row r="7" spans="2:16" s="544" customFormat="1">
      <c r="B7" s="574"/>
      <c r="C7" s="562"/>
      <c r="D7" s="551"/>
      <c r="E7" s="551"/>
      <c r="F7" s="551"/>
      <c r="G7" s="551"/>
      <c r="H7" s="551"/>
      <c r="I7" s="552"/>
      <c r="J7" s="563"/>
      <c r="K7" s="575"/>
    </row>
    <row r="8" spans="2:16" s="544" customFormat="1">
      <c r="B8" s="574">
        <v>1</v>
      </c>
      <c r="C8" s="562" t="s">
        <v>864</v>
      </c>
      <c r="D8" s="551">
        <v>0</v>
      </c>
      <c r="E8" s="551">
        <v>0</v>
      </c>
      <c r="F8" s="551">
        <v>809639</v>
      </c>
      <c r="G8" s="551">
        <v>0</v>
      </c>
      <c r="H8" s="568">
        <f t="shared" ref="H8:H14" si="0">(D8+E8+F8)-G8</f>
        <v>809639</v>
      </c>
      <c r="I8" s="581"/>
      <c r="J8" s="594">
        <v>529985</v>
      </c>
      <c r="K8" s="592">
        <f t="shared" ref="K8:K14" si="1">H8-J8</f>
        <v>279654</v>
      </c>
      <c r="M8" s="545"/>
      <c r="N8" s="546"/>
      <c r="P8" s="547"/>
    </row>
    <row r="9" spans="2:16" s="544" customFormat="1">
      <c r="B9" s="574">
        <v>2</v>
      </c>
      <c r="C9" s="562" t="s">
        <v>873</v>
      </c>
      <c r="D9" s="551">
        <v>0</v>
      </c>
      <c r="E9" s="551">
        <v>0</v>
      </c>
      <c r="F9" s="551">
        <v>383816</v>
      </c>
      <c r="G9" s="551">
        <v>0</v>
      </c>
      <c r="H9" s="568">
        <f t="shared" si="0"/>
        <v>383816</v>
      </c>
      <c r="I9" s="581"/>
      <c r="J9" s="594">
        <v>120010</v>
      </c>
      <c r="K9" s="592">
        <f t="shared" si="1"/>
        <v>263806</v>
      </c>
      <c r="M9" s="548"/>
      <c r="N9" s="546"/>
      <c r="P9" s="547"/>
    </row>
    <row r="10" spans="2:16" s="544" customFormat="1">
      <c r="B10" s="574">
        <v>3</v>
      </c>
      <c r="C10" s="562" t="s">
        <v>865</v>
      </c>
      <c r="D10" s="551">
        <v>0</v>
      </c>
      <c r="E10" s="551">
        <v>0</v>
      </c>
      <c r="F10" s="551">
        <v>0</v>
      </c>
      <c r="G10" s="551">
        <v>0</v>
      </c>
      <c r="H10" s="568">
        <f t="shared" si="0"/>
        <v>0</v>
      </c>
      <c r="I10" s="581"/>
      <c r="J10" s="594">
        <v>0</v>
      </c>
      <c r="K10" s="592">
        <f t="shared" si="1"/>
        <v>0</v>
      </c>
      <c r="M10" s="548"/>
      <c r="N10" s="546"/>
      <c r="P10" s="547"/>
    </row>
    <row r="11" spans="2:16" s="544" customFormat="1">
      <c r="B11" s="574">
        <v>4</v>
      </c>
      <c r="C11" s="562" t="s">
        <v>874</v>
      </c>
      <c r="D11" s="551">
        <v>0</v>
      </c>
      <c r="E11" s="551">
        <v>0</v>
      </c>
      <c r="F11" s="551">
        <v>363686</v>
      </c>
      <c r="G11" s="551">
        <v>0</v>
      </c>
      <c r="H11" s="568">
        <f t="shared" si="0"/>
        <v>363686</v>
      </c>
      <c r="I11" s="581"/>
      <c r="J11" s="594">
        <v>167191</v>
      </c>
      <c r="K11" s="592">
        <f t="shared" si="1"/>
        <v>196495</v>
      </c>
      <c r="M11" s="548"/>
      <c r="N11" s="546"/>
      <c r="P11" s="547"/>
    </row>
    <row r="12" spans="2:16" s="544" customFormat="1">
      <c r="B12" s="574"/>
      <c r="C12" s="562"/>
      <c r="D12" s="551"/>
      <c r="E12" s="551"/>
      <c r="F12" s="551"/>
      <c r="G12" s="551"/>
      <c r="H12" s="568">
        <f t="shared" si="0"/>
        <v>0</v>
      </c>
      <c r="I12" s="581"/>
      <c r="J12" s="569">
        <f>ROUND(((D12+E12)*I12)+(F12*I12/2),0)</f>
        <v>0</v>
      </c>
      <c r="K12" s="576">
        <f t="shared" si="1"/>
        <v>0</v>
      </c>
      <c r="M12" s="548"/>
      <c r="N12" s="546"/>
      <c r="P12" s="547"/>
    </row>
    <row r="13" spans="2:16" s="544" customFormat="1">
      <c r="B13" s="574"/>
      <c r="C13" s="562"/>
      <c r="D13" s="551"/>
      <c r="E13" s="551"/>
      <c r="F13" s="551"/>
      <c r="G13" s="551"/>
      <c r="H13" s="568">
        <f t="shared" si="0"/>
        <v>0</v>
      </c>
      <c r="I13" s="581"/>
      <c r="J13" s="569">
        <f>ROUND(((D13+E13)*I13)+(F13*I13/2),0)</f>
        <v>0</v>
      </c>
      <c r="K13" s="576">
        <f t="shared" si="1"/>
        <v>0</v>
      </c>
      <c r="M13" s="548"/>
      <c r="N13" s="546"/>
      <c r="P13" s="547"/>
    </row>
    <row r="14" spans="2:16" s="544" customFormat="1">
      <c r="B14" s="574"/>
      <c r="C14" s="562"/>
      <c r="D14" s="551"/>
      <c r="E14" s="551"/>
      <c r="F14" s="551"/>
      <c r="G14" s="551"/>
      <c r="H14" s="568">
        <f t="shared" si="0"/>
        <v>0</v>
      </c>
      <c r="I14" s="581"/>
      <c r="J14" s="569">
        <f>ROUND(((D14+E14)*I14)+(F14*I14/2),0)</f>
        <v>0</v>
      </c>
      <c r="K14" s="576">
        <f t="shared" si="1"/>
        <v>0</v>
      </c>
    </row>
    <row r="15" spans="2:16" s="544" customFormat="1" ht="15.75" thickBot="1">
      <c r="B15" s="577"/>
      <c r="C15" s="578" t="s">
        <v>826</v>
      </c>
      <c r="D15" s="579">
        <f>SUM(D7:D14)</f>
        <v>0</v>
      </c>
      <c r="E15" s="579">
        <f>SUM(E7:E14)</f>
        <v>0</v>
      </c>
      <c r="F15" s="579">
        <f>SUM(F7:F14)</f>
        <v>1557141</v>
      </c>
      <c r="G15" s="579">
        <f>SUM(G7:G14)</f>
        <v>0</v>
      </c>
      <c r="H15" s="579">
        <f>SUM(H7:H14)</f>
        <v>1557141</v>
      </c>
      <c r="I15" s="579"/>
      <c r="J15" s="596">
        <f>SUM(J7:J14)</f>
        <v>817186</v>
      </c>
      <c r="K15" s="595">
        <f>SUM(K7:K14)</f>
        <v>739955</v>
      </c>
    </row>
    <row r="16" spans="2:16" s="544" customFormat="1">
      <c r="D16" s="549"/>
      <c r="E16" s="549"/>
      <c r="F16" s="549"/>
      <c r="G16" s="549"/>
      <c r="H16" s="549"/>
      <c r="I16" s="549"/>
      <c r="J16" s="549"/>
      <c r="K16" s="549"/>
    </row>
    <row r="17" spans="2:16" ht="15.75" thickBot="1"/>
    <row r="18" spans="2:16" s="544" customFormat="1" ht="15" customHeight="1">
      <c r="B18" s="555"/>
      <c r="C18" s="1608" t="s">
        <v>898</v>
      </c>
      <c r="D18" s="1608"/>
      <c r="E18" s="1608"/>
      <c r="F18" s="1608"/>
      <c r="G18" s="1608"/>
      <c r="H18" s="1608"/>
      <c r="I18" s="1608"/>
      <c r="J18" s="1608"/>
      <c r="K18" s="1609"/>
    </row>
    <row r="19" spans="2:16" s="544" customFormat="1" ht="15" customHeight="1">
      <c r="B19" s="570" t="s">
        <v>855</v>
      </c>
      <c r="C19" s="556" t="s">
        <v>856</v>
      </c>
      <c r="D19" s="557" t="s">
        <v>857</v>
      </c>
      <c r="E19" s="1604" t="s">
        <v>82</v>
      </c>
      <c r="F19" s="1605"/>
      <c r="G19" s="566" t="s">
        <v>869</v>
      </c>
      <c r="H19" s="557" t="s">
        <v>43</v>
      </c>
      <c r="I19" s="1606" t="s">
        <v>838</v>
      </c>
      <c r="J19" s="1607"/>
      <c r="K19" s="571" t="s">
        <v>858</v>
      </c>
    </row>
    <row r="20" spans="2:16" s="544" customFormat="1" ht="15.75" customHeight="1">
      <c r="B20" s="572"/>
      <c r="C20" s="558"/>
      <c r="D20" s="559" t="s">
        <v>881</v>
      </c>
      <c r="E20" s="560" t="s">
        <v>859</v>
      </c>
      <c r="F20" s="554" t="s">
        <v>860</v>
      </c>
      <c r="G20" s="560"/>
      <c r="H20" s="559" t="s">
        <v>25</v>
      </c>
      <c r="I20" s="560" t="s">
        <v>861</v>
      </c>
      <c r="J20" s="561" t="s">
        <v>43</v>
      </c>
      <c r="K20" s="573" t="s">
        <v>882</v>
      </c>
    </row>
    <row r="21" spans="2:16" s="544" customFormat="1">
      <c r="B21" s="574"/>
      <c r="C21" s="562"/>
      <c r="D21" s="551"/>
      <c r="E21" s="551"/>
      <c r="F21" s="551"/>
      <c r="G21" s="551"/>
      <c r="H21" s="551"/>
      <c r="I21" s="552"/>
      <c r="J21" s="563"/>
      <c r="K21" s="575"/>
    </row>
    <row r="22" spans="2:16" s="544" customFormat="1">
      <c r="B22" s="574">
        <v>1</v>
      </c>
      <c r="C22" s="562" t="s">
        <v>864</v>
      </c>
      <c r="D22" s="590">
        <v>622254</v>
      </c>
      <c r="E22" s="551">
        <v>1700</v>
      </c>
      <c r="F22" s="551">
        <v>1280396</v>
      </c>
      <c r="G22" s="551">
        <v>0</v>
      </c>
      <c r="H22" s="568">
        <f t="shared" ref="H22:H28" si="2">(D22+E22+F22)-G22</f>
        <v>1904350</v>
      </c>
      <c r="I22" s="581"/>
      <c r="J22" s="594">
        <v>1341919</v>
      </c>
      <c r="K22" s="592">
        <f t="shared" ref="K22:K28" si="3">H22-J22</f>
        <v>562431</v>
      </c>
      <c r="M22" s="545"/>
      <c r="N22" s="546"/>
      <c r="P22" s="547"/>
    </row>
    <row r="23" spans="2:16" s="544" customFormat="1">
      <c r="B23" s="574">
        <v>2</v>
      </c>
      <c r="C23" s="562" t="s">
        <v>873</v>
      </c>
      <c r="D23" s="590">
        <v>577586</v>
      </c>
      <c r="E23" s="551">
        <v>0</v>
      </c>
      <c r="F23" s="551">
        <v>123293</v>
      </c>
      <c r="G23" s="551">
        <v>0</v>
      </c>
      <c r="H23" s="568">
        <f t="shared" si="2"/>
        <v>700879</v>
      </c>
      <c r="I23" s="581"/>
      <c r="J23" s="594">
        <v>252263</v>
      </c>
      <c r="K23" s="592">
        <f t="shared" si="3"/>
        <v>448616</v>
      </c>
      <c r="M23" s="548"/>
      <c r="N23" s="546"/>
      <c r="P23" s="547"/>
    </row>
    <row r="24" spans="2:16" s="544" customFormat="1">
      <c r="B24" s="574">
        <v>3</v>
      </c>
      <c r="C24" s="562" t="s">
        <v>865</v>
      </c>
      <c r="D24" s="590">
        <v>3500640</v>
      </c>
      <c r="E24" s="551">
        <v>0</v>
      </c>
      <c r="F24" s="551">
        <v>0</v>
      </c>
      <c r="G24" s="551">
        <v>0</v>
      </c>
      <c r="H24" s="568">
        <f t="shared" si="2"/>
        <v>3500640</v>
      </c>
      <c r="I24" s="581"/>
      <c r="J24" s="594">
        <v>0</v>
      </c>
      <c r="K24" s="592">
        <f t="shared" si="3"/>
        <v>3500640</v>
      </c>
      <c r="M24" s="548"/>
      <c r="N24" s="546"/>
      <c r="P24" s="547"/>
    </row>
    <row r="25" spans="2:16" s="544" customFormat="1">
      <c r="B25" s="574">
        <v>4</v>
      </c>
      <c r="C25" s="562" t="s">
        <v>874</v>
      </c>
      <c r="D25" s="590">
        <v>127188.45</v>
      </c>
      <c r="E25" s="551">
        <v>5690</v>
      </c>
      <c r="F25" s="551">
        <v>186892</v>
      </c>
      <c r="G25" s="551">
        <v>0</v>
      </c>
      <c r="H25" s="568">
        <f t="shared" si="2"/>
        <v>319770.45</v>
      </c>
      <c r="I25" s="581"/>
      <c r="J25" s="594">
        <v>161660</v>
      </c>
      <c r="K25" s="592">
        <f t="shared" si="3"/>
        <v>158110.45000000001</v>
      </c>
      <c r="M25" s="548"/>
      <c r="N25" s="546"/>
      <c r="P25" s="547"/>
    </row>
    <row r="26" spans="2:16" s="544" customFormat="1">
      <c r="B26" s="574"/>
      <c r="C26" s="562"/>
      <c r="D26" s="551"/>
      <c r="E26" s="551"/>
      <c r="F26" s="551"/>
      <c r="G26" s="551"/>
      <c r="H26" s="568">
        <f t="shared" si="2"/>
        <v>0</v>
      </c>
      <c r="I26" s="581"/>
      <c r="J26" s="569">
        <f>ROUND(((D26+E26)*I26)+(F26*I26/2),0)</f>
        <v>0</v>
      </c>
      <c r="K26" s="576">
        <f t="shared" si="3"/>
        <v>0</v>
      </c>
      <c r="M26" s="548"/>
      <c r="N26" s="546"/>
      <c r="P26" s="547"/>
    </row>
    <row r="27" spans="2:16" s="544" customFormat="1">
      <c r="B27" s="574"/>
      <c r="C27" s="562"/>
      <c r="D27" s="551"/>
      <c r="E27" s="551"/>
      <c r="F27" s="551"/>
      <c r="G27" s="551"/>
      <c r="H27" s="568">
        <f t="shared" si="2"/>
        <v>0</v>
      </c>
      <c r="I27" s="581"/>
      <c r="J27" s="569">
        <f>ROUND(((D27+E27)*I27)+(F27*I27/2),0)</f>
        <v>0</v>
      </c>
      <c r="K27" s="576">
        <f t="shared" si="3"/>
        <v>0</v>
      </c>
      <c r="M27" s="548"/>
      <c r="N27" s="546"/>
      <c r="P27" s="547"/>
    </row>
    <row r="28" spans="2:16" s="544" customFormat="1">
      <c r="B28" s="574"/>
      <c r="C28" s="562"/>
      <c r="D28" s="551"/>
      <c r="E28" s="551"/>
      <c r="F28" s="551"/>
      <c r="G28" s="551"/>
      <c r="H28" s="568">
        <f t="shared" si="2"/>
        <v>0</v>
      </c>
      <c r="I28" s="581"/>
      <c r="J28" s="569">
        <f>ROUND(((D28+E28)*I28)+(F28*I28/2),0)</f>
        <v>0</v>
      </c>
      <c r="K28" s="576">
        <f t="shared" si="3"/>
        <v>0</v>
      </c>
    </row>
    <row r="29" spans="2:16" s="544" customFormat="1" ht="15.75" thickBot="1">
      <c r="B29" s="577"/>
      <c r="C29" s="578" t="s">
        <v>826</v>
      </c>
      <c r="D29" s="591">
        <f>SUM(D21:D28)</f>
        <v>4827668.45</v>
      </c>
      <c r="E29" s="579">
        <f>SUM(E21:E28)</f>
        <v>7390</v>
      </c>
      <c r="F29" s="579">
        <f>SUM(F21:F28)</f>
        <v>1590581</v>
      </c>
      <c r="G29" s="579">
        <f>SUM(G21:G28)</f>
        <v>0</v>
      </c>
      <c r="H29" s="579">
        <f>SUM(H21:H28)</f>
        <v>6425639.4500000002</v>
      </c>
      <c r="I29" s="579"/>
      <c r="J29" s="596">
        <f>SUM(J21:J28)</f>
        <v>1755842</v>
      </c>
      <c r="K29" s="595">
        <f>SUM(K21:K28)</f>
        <v>4669797.45</v>
      </c>
    </row>
    <row r="31" spans="2:16" ht="15.75" thickBot="1">
      <c r="B31" s="578" t="s">
        <v>899</v>
      </c>
      <c r="C31" s="578"/>
      <c r="D31" s="593">
        <f>D29+D15</f>
        <v>4827668.45</v>
      </c>
      <c r="E31" s="589">
        <f t="shared" ref="E31:K31" si="4">E29+E15</f>
        <v>7390</v>
      </c>
      <c r="F31" s="589">
        <f t="shared" si="4"/>
        <v>3147722</v>
      </c>
      <c r="G31" s="589">
        <f t="shared" si="4"/>
        <v>0</v>
      </c>
      <c r="H31" s="589">
        <f t="shared" si="4"/>
        <v>7982780.4500000002</v>
      </c>
      <c r="I31" s="589">
        <f t="shared" si="4"/>
        <v>0</v>
      </c>
      <c r="J31" s="593">
        <f t="shared" si="4"/>
        <v>2573028</v>
      </c>
      <c r="K31" s="593">
        <f t="shared" si="4"/>
        <v>5409752.4500000002</v>
      </c>
    </row>
    <row r="33" spans="10:11">
      <c r="J33" s="587">
        <f>+J29</f>
        <v>1755842</v>
      </c>
      <c r="K33" t="s">
        <v>907</v>
      </c>
    </row>
    <row r="34" spans="10:11">
      <c r="J34" s="587">
        <f>+J15</f>
        <v>817186</v>
      </c>
      <c r="K34" t="s">
        <v>905</v>
      </c>
    </row>
    <row r="35" spans="10:11" ht="15.75" thickBot="1">
      <c r="J35" s="588">
        <f>+J34+J33</f>
        <v>2573028</v>
      </c>
      <c r="K35" t="s">
        <v>906</v>
      </c>
    </row>
    <row r="36" spans="10:11" ht="15.75" thickTop="1"/>
  </sheetData>
  <mergeCells count="8">
    <mergeCell ref="B1:K1"/>
    <mergeCell ref="B2:K2"/>
    <mergeCell ref="C18:K18"/>
    <mergeCell ref="E19:F19"/>
    <mergeCell ref="I19:J19"/>
    <mergeCell ref="C4:K4"/>
    <mergeCell ref="E5:F5"/>
    <mergeCell ref="I5:J5"/>
  </mergeCells>
  <pageMargins left="0.7" right="0.7" top="0.75" bottom="0.75" header="0.3" footer="0.3"/>
  <pageSetup paperSize="9" orientation="portrait" horizontalDpi="4294967293" verticalDpi="4294967293"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71"/>
  <sheetViews>
    <sheetView workbookViewId="0">
      <pane ySplit="1" topLeftCell="A2" activePane="bottomLeft" state="frozen"/>
      <selection pane="bottomLeft" activeCell="B59" sqref="B59"/>
    </sheetView>
  </sheetViews>
  <sheetFormatPr defaultRowHeight="15"/>
  <cols>
    <col min="1" max="1" width="15.140625" bestFit="1" customWidth="1"/>
    <col min="2" max="3" width="10.140625" bestFit="1" customWidth="1"/>
    <col min="4" max="4" width="9.140625" style="609"/>
  </cols>
  <sheetData>
    <row r="1" spans="1:4" s="604" customFormat="1" ht="30">
      <c r="A1" s="605" t="s">
        <v>965</v>
      </c>
      <c r="B1" s="605" t="s">
        <v>933</v>
      </c>
      <c r="C1" s="605" t="s">
        <v>959</v>
      </c>
      <c r="D1" s="608" t="s">
        <v>960</v>
      </c>
    </row>
    <row r="2" spans="1:4">
      <c r="A2" s="601" t="s">
        <v>934</v>
      </c>
    </row>
    <row r="3" spans="1:4">
      <c r="A3" t="s">
        <v>935</v>
      </c>
      <c r="B3">
        <v>528408</v>
      </c>
      <c r="C3">
        <v>2517244</v>
      </c>
      <c r="D3" s="609">
        <v>57660</v>
      </c>
    </row>
    <row r="4" spans="1:4">
      <c r="A4" t="s">
        <v>844</v>
      </c>
      <c r="C4">
        <v>129844</v>
      </c>
      <c r="D4" s="609">
        <v>3337</v>
      </c>
    </row>
    <row r="5" spans="1:4">
      <c r="A5" t="s">
        <v>936</v>
      </c>
      <c r="B5">
        <v>1577</v>
      </c>
      <c r="C5">
        <v>681</v>
      </c>
    </row>
    <row r="6" spans="1:4">
      <c r="A6" s="601" t="s">
        <v>944</v>
      </c>
      <c r="B6" s="601">
        <f>SUM(B3:B5)</f>
        <v>529985</v>
      </c>
      <c r="C6" s="601">
        <f>SUM(C3:C5)</f>
        <v>2647769</v>
      </c>
      <c r="D6" s="610">
        <f>SUM(D3:D5)</f>
        <v>60997</v>
      </c>
    </row>
    <row r="7" spans="1:4">
      <c r="A7" s="601" t="s">
        <v>943</v>
      </c>
    </row>
    <row r="8" spans="1:4">
      <c r="A8" t="s">
        <v>937</v>
      </c>
      <c r="B8">
        <v>5331</v>
      </c>
      <c r="C8">
        <v>17983</v>
      </c>
      <c r="D8" s="609">
        <v>609</v>
      </c>
    </row>
    <row r="9" spans="1:4">
      <c r="A9" t="s">
        <v>843</v>
      </c>
      <c r="B9">
        <v>16723</v>
      </c>
      <c r="C9">
        <v>12740</v>
      </c>
    </row>
    <row r="10" spans="1:4">
      <c r="A10" t="s">
        <v>938</v>
      </c>
      <c r="B10">
        <v>34742</v>
      </c>
      <c r="C10">
        <v>112415</v>
      </c>
      <c r="D10" s="609">
        <v>2792</v>
      </c>
    </row>
    <row r="11" spans="1:4">
      <c r="A11" t="s">
        <v>939</v>
      </c>
      <c r="B11">
        <v>5379</v>
      </c>
      <c r="C11">
        <v>13017</v>
      </c>
      <c r="D11" s="609">
        <v>190</v>
      </c>
    </row>
    <row r="12" spans="1:4">
      <c r="A12" t="s">
        <v>940</v>
      </c>
      <c r="B12">
        <v>231</v>
      </c>
      <c r="C12">
        <v>175</v>
      </c>
    </row>
    <row r="13" spans="1:4">
      <c r="A13" t="s">
        <v>942</v>
      </c>
      <c r="B13">
        <v>37290</v>
      </c>
      <c r="C13">
        <v>108446</v>
      </c>
      <c r="D13" s="609">
        <v>2405</v>
      </c>
    </row>
    <row r="14" spans="1:4">
      <c r="A14" t="s">
        <v>941</v>
      </c>
      <c r="B14">
        <v>20315</v>
      </c>
      <c r="C14">
        <v>54946</v>
      </c>
      <c r="D14" s="609">
        <v>1366</v>
      </c>
    </row>
    <row r="16" spans="1:4">
      <c r="A16" s="601" t="s">
        <v>945</v>
      </c>
      <c r="B16" s="601">
        <f>SUM(B8:B15)</f>
        <v>120011</v>
      </c>
      <c r="C16" s="601">
        <f>SUM(C8:C15)</f>
        <v>319722</v>
      </c>
      <c r="D16" s="610">
        <f>SUM(D8:D15)</f>
        <v>7362</v>
      </c>
    </row>
    <row r="18" spans="1:4">
      <c r="A18" t="s">
        <v>946</v>
      </c>
      <c r="C18">
        <v>226872</v>
      </c>
      <c r="D18" s="609">
        <v>4340</v>
      </c>
    </row>
    <row r="19" spans="1:4">
      <c r="A19" t="s">
        <v>947</v>
      </c>
      <c r="B19">
        <v>1990</v>
      </c>
      <c r="C19">
        <v>1279</v>
      </c>
    </row>
    <row r="20" spans="1:4">
      <c r="A20" t="s">
        <v>948</v>
      </c>
      <c r="B20">
        <v>59185</v>
      </c>
      <c r="C20">
        <v>428974</v>
      </c>
      <c r="D20" s="609">
        <v>12554</v>
      </c>
    </row>
    <row r="21" spans="1:4">
      <c r="A21" t="s">
        <v>949</v>
      </c>
      <c r="B21">
        <v>1169</v>
      </c>
      <c r="C21">
        <v>732</v>
      </c>
    </row>
    <row r="22" spans="1:4">
      <c r="A22" t="s">
        <v>950</v>
      </c>
      <c r="B22">
        <v>2269</v>
      </c>
      <c r="C22">
        <v>1451</v>
      </c>
    </row>
    <row r="23" spans="1:4">
      <c r="A23" t="s">
        <v>951</v>
      </c>
      <c r="B23">
        <v>58384</v>
      </c>
      <c r="C23">
        <v>230327</v>
      </c>
      <c r="D23" s="609">
        <v>3014</v>
      </c>
    </row>
    <row r="24" spans="1:4">
      <c r="A24" t="s">
        <v>952</v>
      </c>
    </row>
    <row r="25" spans="1:4">
      <c r="A25" t="s">
        <v>953</v>
      </c>
      <c r="B25">
        <v>44193</v>
      </c>
      <c r="C25">
        <v>247524</v>
      </c>
      <c r="D25" s="609">
        <v>4405</v>
      </c>
    </row>
    <row r="26" spans="1:4">
      <c r="A26" s="601" t="s">
        <v>954</v>
      </c>
      <c r="B26" s="601">
        <f>SUM(B18:B25)</f>
        <v>167190</v>
      </c>
      <c r="C26" s="601">
        <f>SUM(C18:C25)</f>
        <v>1137159</v>
      </c>
      <c r="D26" s="610">
        <f>SUM(D18:D25)</f>
        <v>24313</v>
      </c>
    </row>
    <row r="27" spans="1:4">
      <c r="A27" s="611" t="s">
        <v>966</v>
      </c>
      <c r="B27" s="611">
        <f>B26+B16+B6</f>
        <v>817186</v>
      </c>
      <c r="C27" s="611">
        <f t="shared" ref="C27:D27" si="0">C26+C16+C6</f>
        <v>4104650</v>
      </c>
      <c r="D27" s="611">
        <f t="shared" si="0"/>
        <v>92672</v>
      </c>
    </row>
    <row r="28" spans="1:4">
      <c r="A28" s="603" t="s">
        <v>955</v>
      </c>
    </row>
    <row r="29" spans="1:4">
      <c r="A29" s="602" t="s">
        <v>935</v>
      </c>
      <c r="B29">
        <f>1205316-B30</f>
        <v>1197398</v>
      </c>
      <c r="C29">
        <v>436645</v>
      </c>
    </row>
    <row r="30" spans="1:4">
      <c r="A30" s="602" t="s">
        <v>844</v>
      </c>
      <c r="B30">
        <v>7918</v>
      </c>
      <c r="C30">
        <v>21714</v>
      </c>
    </row>
    <row r="31" spans="1:4">
      <c r="A31" s="602" t="s">
        <v>936</v>
      </c>
      <c r="B31" s="606">
        <v>136602.93</v>
      </c>
      <c r="C31">
        <v>324903</v>
      </c>
    </row>
    <row r="32" spans="1:4" s="601" customFormat="1">
      <c r="A32" s="603" t="s">
        <v>944</v>
      </c>
      <c r="B32" s="607">
        <f>SUM(B29:B31)</f>
        <v>1341918.93</v>
      </c>
      <c r="C32" s="601">
        <f>SUM(C29:C31)</f>
        <v>783262</v>
      </c>
      <c r="D32" s="610">
        <f>SUM(D29:D31)</f>
        <v>0</v>
      </c>
    </row>
    <row r="33" spans="1:4">
      <c r="A33" s="603" t="s">
        <v>943</v>
      </c>
    </row>
    <row r="34" spans="1:4">
      <c r="A34" s="602" t="s">
        <v>937</v>
      </c>
      <c r="C34">
        <v>2661</v>
      </c>
    </row>
    <row r="35" spans="1:4">
      <c r="A35" s="602" t="s">
        <v>843</v>
      </c>
      <c r="C35">
        <v>1951</v>
      </c>
    </row>
    <row r="36" spans="1:4">
      <c r="A36" s="602" t="s">
        <v>938</v>
      </c>
      <c r="C36">
        <v>38902</v>
      </c>
    </row>
    <row r="37" spans="1:4">
      <c r="A37" s="602" t="s">
        <v>939</v>
      </c>
      <c r="C37">
        <v>1517</v>
      </c>
    </row>
    <row r="38" spans="1:4">
      <c r="A38" s="602" t="s">
        <v>940</v>
      </c>
      <c r="C38">
        <v>2973</v>
      </c>
    </row>
    <row r="39" spans="1:4">
      <c r="A39" s="602" t="s">
        <v>942</v>
      </c>
      <c r="C39">
        <v>86985</v>
      </c>
    </row>
    <row r="40" spans="1:4">
      <c r="A40" s="602" t="s">
        <v>941</v>
      </c>
      <c r="C40">
        <v>39531</v>
      </c>
    </row>
    <row r="41" spans="1:4">
      <c r="A41" s="602"/>
    </row>
    <row r="42" spans="1:4" s="601" customFormat="1">
      <c r="A42" s="603" t="s">
        <v>945</v>
      </c>
      <c r="B42" s="601">
        <v>252263</v>
      </c>
      <c r="C42" s="601">
        <f>SUM(C34:C41)</f>
        <v>174520</v>
      </c>
      <c r="D42" s="610">
        <f>SUM(D34:D41)</f>
        <v>0</v>
      </c>
    </row>
    <row r="43" spans="1:4">
      <c r="A43" s="602"/>
    </row>
    <row r="44" spans="1:4">
      <c r="A44" s="602" t="s">
        <v>961</v>
      </c>
      <c r="C44">
        <v>8358</v>
      </c>
    </row>
    <row r="45" spans="1:4">
      <c r="A45" s="602" t="s">
        <v>946</v>
      </c>
      <c r="C45">
        <v>22504</v>
      </c>
    </row>
    <row r="46" spans="1:4">
      <c r="A46" s="602" t="s">
        <v>962</v>
      </c>
      <c r="B46" s="606">
        <v>11034.86</v>
      </c>
      <c r="C46">
        <v>4632</v>
      </c>
    </row>
    <row r="47" spans="1:4">
      <c r="A47" s="602" t="s">
        <v>963</v>
      </c>
      <c r="B47" s="606">
        <v>2081.0300000000002</v>
      </c>
      <c r="C47">
        <v>1204</v>
      </c>
    </row>
    <row r="48" spans="1:4">
      <c r="A48" s="602" t="s">
        <v>947</v>
      </c>
      <c r="B48" s="606">
        <v>5420.36</v>
      </c>
      <c r="C48">
        <v>3484</v>
      </c>
    </row>
    <row r="49" spans="1:4">
      <c r="A49" s="602" t="s">
        <v>948</v>
      </c>
      <c r="B49" s="606">
        <v>59185.1</v>
      </c>
      <c r="C49">
        <v>38767</v>
      </c>
    </row>
    <row r="50" spans="1:4">
      <c r="A50" s="602" t="s">
        <v>949</v>
      </c>
      <c r="B50" s="606"/>
    </row>
    <row r="51" spans="1:4">
      <c r="A51" s="602" t="s">
        <v>950</v>
      </c>
      <c r="B51" s="606">
        <v>5386.36</v>
      </c>
      <c r="C51">
        <v>3345</v>
      </c>
    </row>
    <row r="52" spans="1:4">
      <c r="A52" s="602" t="s">
        <v>951</v>
      </c>
      <c r="B52" s="606">
        <v>77694.17</v>
      </c>
      <c r="C52">
        <v>61982</v>
      </c>
    </row>
    <row r="53" spans="1:4">
      <c r="A53" s="602" t="s">
        <v>952</v>
      </c>
      <c r="B53" s="606"/>
    </row>
    <row r="54" spans="1:4">
      <c r="A54" s="602" t="s">
        <v>953</v>
      </c>
      <c r="B54" s="606">
        <v>857.91</v>
      </c>
      <c r="C54">
        <v>493</v>
      </c>
    </row>
    <row r="55" spans="1:4">
      <c r="A55" s="602" t="s">
        <v>964</v>
      </c>
      <c r="C55">
        <v>25285</v>
      </c>
    </row>
    <row r="56" spans="1:4" s="601" customFormat="1">
      <c r="A56" s="603" t="s">
        <v>954</v>
      </c>
      <c r="B56" s="607">
        <f>SUM(B44:B55)</f>
        <v>161659.79</v>
      </c>
      <c r="C56" s="601">
        <f>SUM(C44:C55)</f>
        <v>170054</v>
      </c>
      <c r="D56" s="610">
        <f>SUM(D44:D55)</f>
        <v>0</v>
      </c>
    </row>
    <row r="57" spans="1:4">
      <c r="B57" s="606"/>
    </row>
    <row r="58" spans="1:4">
      <c r="A58" s="603" t="s">
        <v>956</v>
      </c>
      <c r="B58" s="612">
        <f>B56+B42+B32+B26+B16+B6</f>
        <v>2573027.7199999997</v>
      </c>
      <c r="C58" s="610">
        <f>C56+C42+C32+C26+C16+C6</f>
        <v>5232486</v>
      </c>
      <c r="D58" s="610">
        <f>D56+D42+D32+D26+D16+D6</f>
        <v>92672</v>
      </c>
    </row>
    <row r="59" spans="1:4">
      <c r="C59">
        <f>4197322+1127836</f>
        <v>5325158</v>
      </c>
      <c r="D59" s="582">
        <f>C58+D58</f>
        <v>5325158</v>
      </c>
    </row>
    <row r="60" spans="1:4">
      <c r="A60" s="601" t="s">
        <v>957</v>
      </c>
      <c r="B60" s="610">
        <f>817186+1755842</f>
        <v>2573028</v>
      </c>
      <c r="C60" s="610">
        <f>1127836+4104650</f>
        <v>5232486</v>
      </c>
      <c r="D60" s="610">
        <v>92672</v>
      </c>
    </row>
    <row r="62" spans="1:4">
      <c r="A62" s="601" t="s">
        <v>958</v>
      </c>
      <c r="C62" s="609">
        <f>3680866</f>
        <v>3680866</v>
      </c>
      <c r="D62" s="609">
        <v>92672</v>
      </c>
    </row>
    <row r="63" spans="1:4">
      <c r="A63" s="601"/>
      <c r="C63" s="609">
        <v>423783</v>
      </c>
    </row>
    <row r="64" spans="1:4">
      <c r="A64" s="601"/>
      <c r="C64" s="609"/>
    </row>
    <row r="65" spans="1:4">
      <c r="A65" s="601" t="s">
        <v>927</v>
      </c>
      <c r="C65" s="609">
        <v>3680867</v>
      </c>
      <c r="D65" s="609">
        <v>92672</v>
      </c>
    </row>
    <row r="66" spans="1:4">
      <c r="C66" s="609">
        <v>423783</v>
      </c>
    </row>
    <row r="70" spans="1:4">
      <c r="A70" s="601" t="s">
        <v>967</v>
      </c>
      <c r="B70">
        <v>1557141</v>
      </c>
    </row>
    <row r="71" spans="1:4">
      <c r="A71" s="601" t="s">
        <v>968</v>
      </c>
      <c r="B71">
        <v>817186</v>
      </c>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43"/>
  <sheetViews>
    <sheetView workbookViewId="0">
      <selection activeCell="B2" sqref="B2"/>
    </sheetView>
  </sheetViews>
  <sheetFormatPr defaultRowHeight="15"/>
  <cols>
    <col min="1" max="1" width="41.7109375" bestFit="1" customWidth="1"/>
    <col min="2" max="4" width="11.5703125" bestFit="1" customWidth="1"/>
  </cols>
  <sheetData>
    <row r="1" spans="1:5" s="618" customFormat="1" ht="15.75" thickBot="1">
      <c r="A1" s="631" t="s">
        <v>26</v>
      </c>
      <c r="B1" s="630" t="s">
        <v>1009</v>
      </c>
      <c r="C1" s="628" t="s">
        <v>1010</v>
      </c>
      <c r="D1" s="629" t="s">
        <v>1011</v>
      </c>
    </row>
    <row r="2" spans="1:5">
      <c r="A2" s="633" t="s">
        <v>828</v>
      </c>
      <c r="B2" s="619">
        <f>'Income &amp; Expenditure'!D10</f>
        <v>0</v>
      </c>
      <c r="C2" s="620">
        <v>60740448.149999999</v>
      </c>
      <c r="D2" s="626">
        <v>40566086</v>
      </c>
    </row>
    <row r="3" spans="1:5">
      <c r="A3" s="635" t="s">
        <v>1017</v>
      </c>
      <c r="B3" s="623" t="e">
        <f>'Notes 2 to 11'!#REF!+'Notes 2 to 11'!#REF!</f>
        <v>#REF!</v>
      </c>
      <c r="C3" s="624" t="e">
        <f>'Notes 2 to 11'!#REF!+'Notes 2 to 11'!#REF!</f>
        <v>#REF!</v>
      </c>
      <c r="D3" s="627">
        <v>3675082</v>
      </c>
    </row>
    <row r="4" spans="1:5">
      <c r="A4" s="635" t="s">
        <v>1018</v>
      </c>
      <c r="B4" s="623" t="e">
        <f>'Notes 2 to 11'!B81</f>
        <v>#REF!</v>
      </c>
      <c r="C4" s="624">
        <f>'Notes 2 to 11'!C81+'Notes 2 to 11'!C82</f>
        <v>12151770.389999999</v>
      </c>
      <c r="D4" s="627">
        <v>675094</v>
      </c>
    </row>
    <row r="5" spans="1:5">
      <c r="A5" s="635" t="s">
        <v>891</v>
      </c>
      <c r="B5" s="623" t="e">
        <f>'Notes 2 to 11'!B83</f>
        <v>#REF!</v>
      </c>
      <c r="C5" s="624">
        <f>'Notes 2 to 11'!C83</f>
        <v>374883</v>
      </c>
      <c r="D5" s="627">
        <v>25009</v>
      </c>
    </row>
    <row r="6" spans="1:5">
      <c r="A6" s="647" t="s">
        <v>892</v>
      </c>
      <c r="B6" s="642" t="e">
        <f>SUM(B2:B5)</f>
        <v>#REF!</v>
      </c>
      <c r="C6" s="649" t="e">
        <f t="shared" ref="C6:D6" si="0">SUM(C2:C5)</f>
        <v>#REF!</v>
      </c>
      <c r="D6" s="648">
        <f t="shared" si="0"/>
        <v>44941271</v>
      </c>
    </row>
    <row r="7" spans="1:5">
      <c r="A7" s="641"/>
      <c r="B7" s="621"/>
      <c r="C7" s="622"/>
      <c r="D7" s="625"/>
    </row>
    <row r="8" spans="1:5">
      <c r="A8" s="640" t="s">
        <v>1012</v>
      </c>
      <c r="B8" s="619"/>
      <c r="C8" s="620"/>
      <c r="D8" s="626"/>
    </row>
    <row r="9" spans="1:5">
      <c r="A9" s="632" t="s">
        <v>979</v>
      </c>
      <c r="B9" s="621">
        <f>'Income &amp; Expenditure'!D15</f>
        <v>0</v>
      </c>
      <c r="C9" s="622">
        <v>29018194.960000001</v>
      </c>
      <c r="D9" s="625">
        <v>32212137</v>
      </c>
    </row>
    <row r="10" spans="1:5">
      <c r="A10" s="633" t="s">
        <v>851</v>
      </c>
      <c r="B10" s="619" t="e">
        <f>'Notes 2 to 11'!B112</f>
        <v>#REF!</v>
      </c>
      <c r="C10" s="620">
        <v>980398.93</v>
      </c>
      <c r="D10" s="626">
        <v>873994.79</v>
      </c>
    </row>
    <row r="11" spans="1:5">
      <c r="A11" s="633" t="s">
        <v>830</v>
      </c>
      <c r="B11" s="619">
        <f>'Notes 2 to 11'!B126</f>
        <v>0</v>
      </c>
      <c r="C11" s="620">
        <v>29500</v>
      </c>
      <c r="D11" s="626">
        <v>25000</v>
      </c>
    </row>
    <row r="12" spans="1:5">
      <c r="A12" s="633" t="s">
        <v>831</v>
      </c>
      <c r="B12" s="619" t="e">
        <f>'Notes 2 to 11'!B101</f>
        <v>#REF!</v>
      </c>
      <c r="C12" s="620">
        <v>10275.44</v>
      </c>
      <c r="D12" s="626">
        <v>5956.61</v>
      </c>
    </row>
    <row r="13" spans="1:5">
      <c r="A13" s="633" t="s">
        <v>989</v>
      </c>
      <c r="B13" s="619" t="e">
        <f>'Notes 2 to 11'!B103</f>
        <v>#REF!</v>
      </c>
      <c r="C13" s="620">
        <v>162964</v>
      </c>
      <c r="D13" s="626">
        <v>0</v>
      </c>
    </row>
    <row r="14" spans="1:5">
      <c r="A14" s="633" t="s">
        <v>885</v>
      </c>
      <c r="B14" s="619" t="e">
        <f>'Notes 2 to 11'!B104</f>
        <v>#REF!</v>
      </c>
      <c r="C14" s="620">
        <v>174491.59</v>
      </c>
      <c r="D14" s="626">
        <v>139373</v>
      </c>
    </row>
    <row r="15" spans="1:5">
      <c r="A15" s="633" t="s">
        <v>991</v>
      </c>
      <c r="B15" s="619" t="e">
        <f>'Notes 2 to 11'!#REF!</f>
        <v>#REF!</v>
      </c>
      <c r="C15" s="620">
        <v>1016934</v>
      </c>
      <c r="D15" s="626">
        <v>0</v>
      </c>
      <c r="E15" t="s">
        <v>1008</v>
      </c>
    </row>
    <row r="16" spans="1:5">
      <c r="A16" s="633" t="s">
        <v>838</v>
      </c>
      <c r="B16" s="619" t="e">
        <f>'Notes 2 to 11'!#REF!</f>
        <v>#REF!</v>
      </c>
      <c r="C16" s="620">
        <v>407607</v>
      </c>
      <c r="D16" s="626">
        <v>694587</v>
      </c>
    </row>
    <row r="17" spans="1:4">
      <c r="A17" s="633" t="s">
        <v>845</v>
      </c>
      <c r="B17" s="619" t="e">
        <f>'Notes 2 to 11'!B105</f>
        <v>#REF!</v>
      </c>
      <c r="C17" s="620">
        <v>216676.51</v>
      </c>
      <c r="D17" s="626">
        <v>199298.63</v>
      </c>
    </row>
    <row r="18" spans="1:4">
      <c r="A18" s="633" t="s">
        <v>1019</v>
      </c>
      <c r="B18" s="619" t="e">
        <f>'Notes 2 to 11'!#REF!</f>
        <v>#REF!</v>
      </c>
      <c r="C18" s="620">
        <v>6195425.7000000002</v>
      </c>
      <c r="D18" s="626">
        <v>0</v>
      </c>
    </row>
    <row r="19" spans="1:4">
      <c r="A19" s="633" t="s">
        <v>910</v>
      </c>
      <c r="B19" s="619" t="e">
        <f>'Notes 2 to 11'!B100</f>
        <v>#REF!</v>
      </c>
      <c r="C19" s="620">
        <v>904975</v>
      </c>
      <c r="D19" s="626">
        <v>951798</v>
      </c>
    </row>
    <row r="20" spans="1:4">
      <c r="A20" s="634" t="s">
        <v>985</v>
      </c>
      <c r="B20" s="619" t="e">
        <f>'Notes 2 to 11'!B131</f>
        <v>#REF!</v>
      </c>
      <c r="C20" s="620">
        <v>59170.8</v>
      </c>
      <c r="D20" s="626">
        <v>174790.3</v>
      </c>
    </row>
    <row r="21" spans="1:4">
      <c r="A21" s="633" t="s">
        <v>854</v>
      </c>
      <c r="B21" s="619">
        <f>'Notes 2 to 11'!B132</f>
        <v>0</v>
      </c>
      <c r="C21" s="620">
        <v>889</v>
      </c>
      <c r="D21" s="626">
        <v>4084</v>
      </c>
    </row>
    <row r="22" spans="1:4">
      <c r="A22" s="633" t="s">
        <v>1007</v>
      </c>
      <c r="B22" s="619" t="e">
        <f>'Notes 2 to 11'!#REF!</f>
        <v>#REF!</v>
      </c>
      <c r="C22" s="620">
        <v>1335306</v>
      </c>
      <c r="D22" s="626">
        <v>0</v>
      </c>
    </row>
    <row r="23" spans="1:4">
      <c r="A23" s="633" t="s">
        <v>849</v>
      </c>
      <c r="B23" s="619" t="e">
        <f>'Notes 2 to 11'!B113</f>
        <v>#REF!</v>
      </c>
      <c r="C23" s="620">
        <v>648900.87</v>
      </c>
      <c r="D23" s="626">
        <v>764984.91</v>
      </c>
    </row>
    <row r="24" spans="1:4">
      <c r="A24" s="633" t="s">
        <v>837</v>
      </c>
      <c r="B24" s="619" t="e">
        <f>'Notes 2 to 11'!B114</f>
        <v>#REF!</v>
      </c>
      <c r="C24" s="620">
        <v>113251.96</v>
      </c>
      <c r="D24" s="626">
        <v>213027.53</v>
      </c>
    </row>
    <row r="25" spans="1:4">
      <c r="A25" s="633" t="s">
        <v>932</v>
      </c>
      <c r="B25" s="619" t="e">
        <f>'Notes 2 to 11'!#REF!</f>
        <v>#REF!</v>
      </c>
      <c r="C25" s="620">
        <v>136660</v>
      </c>
      <c r="D25" s="626">
        <v>61000</v>
      </c>
    </row>
    <row r="26" spans="1:4">
      <c r="A26" s="633" t="s">
        <v>886</v>
      </c>
      <c r="B26" s="619">
        <v>32561.33</v>
      </c>
      <c r="C26" s="620">
        <v>14126</v>
      </c>
      <c r="D26" s="626">
        <v>9630.9</v>
      </c>
    </row>
    <row r="27" spans="1:4">
      <c r="A27" s="633" t="s">
        <v>850</v>
      </c>
      <c r="B27" s="619" t="e">
        <f>'Notes 2 to 11'!B115</f>
        <v>#REF!</v>
      </c>
      <c r="C27" s="620">
        <v>2207762</v>
      </c>
      <c r="D27" s="626">
        <v>2120550</v>
      </c>
    </row>
    <row r="28" spans="1:4">
      <c r="A28" s="633" t="s">
        <v>848</v>
      </c>
      <c r="B28" s="619" t="e">
        <f>'Notes 2 to 11'!B106</f>
        <v>#REF!</v>
      </c>
      <c r="C28" s="620">
        <v>1124545.01</v>
      </c>
      <c r="D28" s="626">
        <v>519542.36</v>
      </c>
    </row>
    <row r="29" spans="1:4">
      <c r="A29" s="633" t="s">
        <v>997</v>
      </c>
      <c r="B29" s="619" t="e">
        <f>'Notes 2 to 11'!#REF!</f>
        <v>#REF!</v>
      </c>
      <c r="C29" s="620">
        <v>122042.56</v>
      </c>
      <c r="D29" s="626">
        <v>0</v>
      </c>
    </row>
    <row r="30" spans="1:4">
      <c r="A30" s="633" t="s">
        <v>872</v>
      </c>
      <c r="B30" s="619" t="e">
        <f>'Notes 2 to 11'!B116</f>
        <v>#REF!</v>
      </c>
      <c r="C30" s="620">
        <v>1239212.3999999999</v>
      </c>
      <c r="D30" s="626">
        <v>1217226.6000000001</v>
      </c>
    </row>
    <row r="31" spans="1:4">
      <c r="A31" s="633" t="s">
        <v>847</v>
      </c>
      <c r="B31" s="619" t="e">
        <f>'Notes 2 to 11'!B117</f>
        <v>#REF!</v>
      </c>
      <c r="C31" s="620">
        <v>3644435</v>
      </c>
      <c r="D31" s="626">
        <v>1215495</v>
      </c>
    </row>
    <row r="32" spans="1:4">
      <c r="A32" s="633" t="s">
        <v>888</v>
      </c>
      <c r="B32" s="619" t="e">
        <f>'Notes 2 to 11'!B118</f>
        <v>#REF!</v>
      </c>
      <c r="C32" s="620">
        <v>204959</v>
      </c>
      <c r="D32" s="626">
        <v>217663</v>
      </c>
    </row>
    <row r="33" spans="1:4">
      <c r="A33" s="633" t="s">
        <v>846</v>
      </c>
      <c r="B33" s="619" t="e">
        <f>'Notes 2 to 11'!#REF!</f>
        <v>#REF!</v>
      </c>
      <c r="C33" s="620">
        <v>678841.72</v>
      </c>
      <c r="D33" s="626">
        <v>913088</v>
      </c>
    </row>
    <row r="34" spans="1:4">
      <c r="A34" s="633" t="s">
        <v>887</v>
      </c>
      <c r="B34" s="619" t="e">
        <f>'Notes 2 to 11'!B136</f>
        <v>#REF!</v>
      </c>
      <c r="C34" s="620">
        <v>61536.82</v>
      </c>
      <c r="D34" s="626">
        <v>35971.42</v>
      </c>
    </row>
    <row r="35" spans="1:4">
      <c r="A35" s="633" t="s">
        <v>990</v>
      </c>
      <c r="B35" s="619" t="e">
        <f>'Notes 2 to 11'!#REF!</f>
        <v>#REF!</v>
      </c>
      <c r="C35" s="620">
        <v>3097500</v>
      </c>
      <c r="D35" s="626">
        <v>0</v>
      </c>
    </row>
    <row r="36" spans="1:4">
      <c r="A36" s="633" t="s">
        <v>836</v>
      </c>
      <c r="B36" s="619" t="e">
        <f>'Notes 2 to 11'!B121</f>
        <v>#REF!</v>
      </c>
      <c r="C36" s="620">
        <v>1718792.8499999996</v>
      </c>
      <c r="D36" s="626">
        <v>1068177</v>
      </c>
    </row>
    <row r="37" spans="1:4">
      <c r="A37" s="635"/>
      <c r="B37" s="623"/>
      <c r="C37" s="624"/>
      <c r="D37" s="627"/>
    </row>
    <row r="38" spans="1:4" ht="15.75" thickBot="1">
      <c r="A38" s="643" t="s">
        <v>884</v>
      </c>
      <c r="B38" s="644" t="e">
        <f>SUM(B9:B37)</f>
        <v>#REF!</v>
      </c>
      <c r="C38" s="645">
        <f>SUM(C9:C37)</f>
        <v>55525375.119999997</v>
      </c>
      <c r="D38" s="646">
        <f>SUM(D9:D37)</f>
        <v>43637376.049999997</v>
      </c>
    </row>
    <row r="39" spans="1:4" ht="15.75" thickBot="1">
      <c r="A39" s="636" t="s">
        <v>1013</v>
      </c>
      <c r="B39" s="637" t="e">
        <f>B6-B38</f>
        <v>#REF!</v>
      </c>
      <c r="C39" s="638" t="e">
        <f>C6-C38</f>
        <v>#REF!</v>
      </c>
      <c r="D39" s="639">
        <f>D6-D38</f>
        <v>1303894.950000003</v>
      </c>
    </row>
    <row r="41" spans="1:4">
      <c r="A41" t="s">
        <v>1014</v>
      </c>
    </row>
    <row r="42" spans="1:4">
      <c r="A42" t="s">
        <v>1015</v>
      </c>
    </row>
    <row r="43" spans="1:4">
      <c r="A43" t="s">
        <v>1016</v>
      </c>
      <c r="B43">
        <v>124</v>
      </c>
      <c r="C43">
        <v>130</v>
      </c>
      <c r="D43">
        <v>145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38"/>
  <sheetViews>
    <sheetView topLeftCell="A19" workbookViewId="0">
      <selection activeCell="D38" sqref="D38"/>
    </sheetView>
  </sheetViews>
  <sheetFormatPr defaultRowHeight="15"/>
  <cols>
    <col min="1" max="1" width="47.85546875" bestFit="1" customWidth="1"/>
    <col min="2" max="2" width="8" bestFit="1" customWidth="1"/>
    <col min="3" max="3" width="10.42578125" bestFit="1" customWidth="1"/>
    <col min="5" max="5" width="10.28515625" bestFit="1" customWidth="1"/>
  </cols>
  <sheetData>
    <row r="1" spans="1:5" ht="15.75">
      <c r="A1" s="1623" t="s">
        <v>999</v>
      </c>
      <c r="B1" s="1623"/>
      <c r="C1" s="1623"/>
    </row>
    <row r="2" spans="1:5" ht="15.75">
      <c r="A2" s="1623" t="s">
        <v>880</v>
      </c>
      <c r="B2" s="1623"/>
      <c r="C2" s="1623"/>
    </row>
    <row r="3" spans="1:5">
      <c r="A3" s="1624" t="s">
        <v>992</v>
      </c>
      <c r="B3" s="1624"/>
      <c r="C3" s="1624"/>
    </row>
    <row r="4" spans="1:5">
      <c r="A4" s="1624" t="s">
        <v>1000</v>
      </c>
      <c r="B4" s="1624"/>
      <c r="C4" s="1624"/>
    </row>
    <row r="5" spans="1:5">
      <c r="A5" s="652" t="s">
        <v>866</v>
      </c>
      <c r="B5" s="1616" t="s">
        <v>880</v>
      </c>
      <c r="C5" s="1616"/>
    </row>
    <row r="6" spans="1:5">
      <c r="A6" s="658" t="s">
        <v>866</v>
      </c>
      <c r="B6" s="1617" t="s">
        <v>999</v>
      </c>
      <c r="C6" s="1618"/>
    </row>
    <row r="7" spans="1:5">
      <c r="A7" s="614" t="s">
        <v>26</v>
      </c>
      <c r="B7" s="1619" t="s">
        <v>1000</v>
      </c>
      <c r="C7" s="1620"/>
    </row>
    <row r="8" spans="1:5">
      <c r="A8" s="614" t="s">
        <v>866</v>
      </c>
      <c r="B8" s="1621" t="s">
        <v>1020</v>
      </c>
      <c r="C8" s="1622"/>
    </row>
    <row r="9" spans="1:5">
      <c r="A9" s="615" t="s">
        <v>866</v>
      </c>
      <c r="B9" s="656" t="s">
        <v>993</v>
      </c>
      <c r="C9" s="656" t="s">
        <v>994</v>
      </c>
      <c r="D9" t="s">
        <v>996</v>
      </c>
      <c r="E9" t="s">
        <v>995</v>
      </c>
    </row>
    <row r="10" spans="1:5">
      <c r="A10" s="657" t="s">
        <v>1001</v>
      </c>
      <c r="B10" s="651"/>
      <c r="C10" s="650">
        <v>1700000</v>
      </c>
    </row>
    <row r="11" spans="1:5">
      <c r="A11" s="657" t="s">
        <v>1021</v>
      </c>
      <c r="B11" s="651"/>
      <c r="C11" s="650">
        <v>139092</v>
      </c>
    </row>
    <row r="12" spans="1:5">
      <c r="A12" s="657" t="s">
        <v>1022</v>
      </c>
      <c r="B12" s="651"/>
      <c r="C12" s="650">
        <v>28000</v>
      </c>
    </row>
    <row r="13" spans="1:5">
      <c r="A13" s="657" t="s">
        <v>998</v>
      </c>
      <c r="B13" s="651"/>
      <c r="C13" s="650">
        <v>103949</v>
      </c>
    </row>
    <row r="14" spans="1:5">
      <c r="A14" s="657" t="s">
        <v>1023</v>
      </c>
      <c r="B14" s="651"/>
      <c r="C14" s="650">
        <v>5200</v>
      </c>
    </row>
    <row r="15" spans="1:5">
      <c r="A15" s="657" t="s">
        <v>1024</v>
      </c>
      <c r="B15" s="651"/>
      <c r="C15" s="650">
        <v>28500</v>
      </c>
    </row>
    <row r="16" spans="1:5">
      <c r="A16" s="657" t="s">
        <v>1025</v>
      </c>
      <c r="B16" s="651"/>
      <c r="C16" s="650">
        <v>295403</v>
      </c>
    </row>
    <row r="17" spans="1:3">
      <c r="A17" s="657" t="s">
        <v>1002</v>
      </c>
      <c r="B17" s="651"/>
      <c r="C17" s="650">
        <v>203079</v>
      </c>
    </row>
    <row r="18" spans="1:3">
      <c r="A18" s="657" t="s">
        <v>1003</v>
      </c>
      <c r="B18" s="651"/>
      <c r="C18" s="650">
        <v>75800</v>
      </c>
    </row>
    <row r="19" spans="1:3">
      <c r="A19" s="657" t="s">
        <v>1026</v>
      </c>
      <c r="B19" s="651"/>
      <c r="C19" s="650">
        <v>4000</v>
      </c>
    </row>
    <row r="20" spans="1:3">
      <c r="A20" s="657" t="s">
        <v>1027</v>
      </c>
      <c r="B20" s="651"/>
      <c r="C20" s="650">
        <v>20100</v>
      </c>
    </row>
    <row r="21" spans="1:3">
      <c r="A21" s="657" t="s">
        <v>1028</v>
      </c>
      <c r="B21" s="651"/>
      <c r="C21" s="650">
        <v>12300</v>
      </c>
    </row>
    <row r="22" spans="1:3">
      <c r="A22" s="657" t="s">
        <v>1029</v>
      </c>
      <c r="B22" s="651"/>
      <c r="C22" s="650">
        <v>18230</v>
      </c>
    </row>
    <row r="23" spans="1:3">
      <c r="A23" s="657" t="s">
        <v>1004</v>
      </c>
      <c r="B23" s="651"/>
      <c r="C23" s="650">
        <v>29500</v>
      </c>
    </row>
    <row r="24" spans="1:3">
      <c r="A24" s="657" t="s">
        <v>1005</v>
      </c>
      <c r="B24" s="651"/>
      <c r="C24" s="650">
        <v>5000</v>
      </c>
    </row>
    <row r="25" spans="1:3">
      <c r="A25" s="657" t="s">
        <v>1030</v>
      </c>
      <c r="B25" s="651"/>
      <c r="C25" s="650">
        <v>31569</v>
      </c>
    </row>
    <row r="26" spans="1:3">
      <c r="A26" s="657" t="s">
        <v>1031</v>
      </c>
      <c r="B26" s="651"/>
      <c r="C26" s="650">
        <v>14200</v>
      </c>
    </row>
    <row r="27" spans="1:3">
      <c r="A27" s="657" t="s">
        <v>1032</v>
      </c>
      <c r="B27" s="651"/>
      <c r="C27" s="650">
        <v>110625</v>
      </c>
    </row>
    <row r="28" spans="1:3">
      <c r="A28" s="657" t="s">
        <v>1033</v>
      </c>
      <c r="B28" s="651"/>
      <c r="C28" s="650">
        <v>29500</v>
      </c>
    </row>
    <row r="29" spans="1:3">
      <c r="A29" s="657" t="s">
        <v>1006</v>
      </c>
      <c r="B29" s="651"/>
      <c r="C29" s="650">
        <v>1800</v>
      </c>
    </row>
    <row r="30" spans="1:3">
      <c r="A30" s="657" t="s">
        <v>1034</v>
      </c>
      <c r="B30" s="651"/>
      <c r="C30" s="650">
        <v>7000</v>
      </c>
    </row>
    <row r="31" spans="1:3">
      <c r="A31" s="657" t="s">
        <v>1035</v>
      </c>
      <c r="B31" s="651"/>
      <c r="C31" s="650">
        <v>5700</v>
      </c>
    </row>
    <row r="32" spans="1:3">
      <c r="A32" s="657" t="s">
        <v>1036</v>
      </c>
      <c r="B32" s="651"/>
      <c r="C32" s="650">
        <v>34635</v>
      </c>
    </row>
    <row r="33" spans="1:5">
      <c r="A33" s="657" t="s">
        <v>1037</v>
      </c>
      <c r="B33" s="651"/>
      <c r="C33" s="650">
        <v>24190</v>
      </c>
    </row>
    <row r="34" spans="1:5">
      <c r="A34" s="657" t="s">
        <v>1038</v>
      </c>
      <c r="B34" s="651"/>
      <c r="C34" s="650">
        <v>8024</v>
      </c>
    </row>
    <row r="35" spans="1:5">
      <c r="A35" s="657" t="s">
        <v>1039</v>
      </c>
      <c r="B35" s="651"/>
      <c r="C35" s="650">
        <v>46000</v>
      </c>
    </row>
    <row r="36" spans="1:5">
      <c r="A36" s="657" t="s">
        <v>870</v>
      </c>
      <c r="B36" s="651"/>
      <c r="C36" s="650">
        <v>2246248.7599999998</v>
      </c>
      <c r="D36">
        <v>1827160</v>
      </c>
      <c r="E36" s="616">
        <f>C36-D36</f>
        <v>419088.75999999978</v>
      </c>
    </row>
    <row r="37" spans="1:5">
      <c r="A37" s="654" t="s">
        <v>1040</v>
      </c>
      <c r="B37" s="653"/>
      <c r="C37" s="655">
        <f>SUM(C10:C36)</f>
        <v>5227644.76</v>
      </c>
    </row>
    <row r="38" spans="1:5">
      <c r="C38" s="617">
        <f>C37-C36+D36</f>
        <v>4808556</v>
      </c>
      <c r="D38" t="s">
        <v>1041</v>
      </c>
    </row>
  </sheetData>
  <mergeCells count="8">
    <mergeCell ref="B5:C5"/>
    <mergeCell ref="B6:C6"/>
    <mergeCell ref="B7:C7"/>
    <mergeCell ref="B8:C8"/>
    <mergeCell ref="A1:C1"/>
    <mergeCell ref="A2:C2"/>
    <mergeCell ref="A3:C3"/>
    <mergeCell ref="A4:C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18</vt:i4>
      </vt:variant>
    </vt:vector>
  </HeadingPairs>
  <TitlesOfParts>
    <vt:vector size="55" baseType="lpstr">
      <vt:lpstr>Computation</vt:lpstr>
      <vt:lpstr>Disallowances22-23</vt:lpstr>
      <vt:lpstr>Balance Sheet</vt:lpstr>
      <vt:lpstr>Income &amp; Expenditure</vt:lpstr>
      <vt:lpstr>Fund Based I&amp;E</vt:lpstr>
      <vt:lpstr>Note 1 Share Capital</vt:lpstr>
      <vt:lpstr>Notes 2 to 11</vt:lpstr>
      <vt:lpstr>Note 12 Restricted Fund Movmnt</vt:lpstr>
      <vt:lpstr>Note 13 &amp; 13A Fixed Assets</vt:lpstr>
      <vt:lpstr>Cash Flow</vt:lpstr>
      <vt:lpstr>Receipts &amp; Payments</vt:lpstr>
      <vt:lpstr>26. Finance Costs</vt:lpstr>
      <vt:lpstr>27. Other Expenses</vt:lpstr>
      <vt:lpstr>28. Exceptional &amp; Extraordinary</vt:lpstr>
      <vt:lpstr>29. Addl Info to the FS </vt:lpstr>
      <vt:lpstr>30.1 AS 7 Disclosures</vt:lpstr>
      <vt:lpstr>30.2 AS 12 Disclosures</vt:lpstr>
      <vt:lpstr>30.3 AS 14 Disclosures</vt:lpstr>
      <vt:lpstr>30.4 AS 15 Disclosures</vt:lpstr>
      <vt:lpstr>30.5 AS 16 Disclosures</vt:lpstr>
      <vt:lpstr>30.6 AS 17 Disclosures</vt:lpstr>
      <vt:lpstr>30.7 AS 18 Disclosures</vt:lpstr>
      <vt:lpstr>30.8 AS 19 Disclosures</vt:lpstr>
      <vt:lpstr>30.9 AS 20 Disclosures</vt:lpstr>
      <vt:lpstr>30.10 AS 22 Disclosures </vt:lpstr>
      <vt:lpstr>30.11 AS 24 Disclosures </vt:lpstr>
      <vt:lpstr>30.12 AS 26 Disclosures </vt:lpstr>
      <vt:lpstr>30.13 AS 27 Disclosures</vt:lpstr>
      <vt:lpstr>30.14 AS 29 Disclosures</vt:lpstr>
      <vt:lpstr>31. Details of ESOP</vt:lpstr>
      <vt:lpstr>32. Previous Year's Figures</vt:lpstr>
      <vt:lpstr>Note 6A Fixed Assets Own Funds</vt:lpstr>
      <vt:lpstr>Master Fixed Assets 2015-16</vt:lpstr>
      <vt:lpstr>Master FA 2014-15 revised</vt:lpstr>
      <vt:lpstr>Depn details</vt:lpstr>
      <vt:lpstr>Yearly comparison</vt:lpstr>
      <vt:lpstr>R&amp;P crs working</vt:lpstr>
      <vt:lpstr>'30.11 AS 24 Disclosures '!Print_Area</vt:lpstr>
      <vt:lpstr>'30.2 AS 12 Disclosures'!Print_Area</vt:lpstr>
      <vt:lpstr>'30.8 AS 19 Disclosures'!Print_Area</vt:lpstr>
      <vt:lpstr>'Fund Based I&amp;E'!Print_Area</vt:lpstr>
      <vt:lpstr>'Master Fixed Assets 2015-16'!Print_Area</vt:lpstr>
      <vt:lpstr>'Note 12 Restricted Fund Movmnt'!Print_Area</vt:lpstr>
      <vt:lpstr>'Note 13 &amp; 13A Fixed Assets'!Print_Area</vt:lpstr>
      <vt:lpstr>'Note 6A Fixed Assets Own Funds'!Print_Area</vt:lpstr>
      <vt:lpstr>'Receipts &amp; Payments'!Print_Area</vt:lpstr>
      <vt:lpstr>'27. Other Expenses'!Print_Titles</vt:lpstr>
      <vt:lpstr>'29. Addl Info to the FS '!Print_Titles</vt:lpstr>
      <vt:lpstr>'30.11 AS 24 Disclosures '!Print_Titles</vt:lpstr>
      <vt:lpstr>'30.4 AS 15 Disclosures'!Print_Titles</vt:lpstr>
      <vt:lpstr>'30.6 AS 17 Disclosures'!Print_Titles</vt:lpstr>
      <vt:lpstr>'30.9 AS 20 Disclosures'!Print_Titles</vt:lpstr>
      <vt:lpstr>'31. Details of ESOP'!Print_Titles</vt:lpstr>
      <vt:lpstr>'Cash Flow'!Print_Titles</vt:lpstr>
      <vt:lpstr>'Notes 2 to 11'!Print_Titles</vt:lpstr>
    </vt:vector>
  </TitlesOfParts>
  <Company>Deloitte Touche Tohmatsu India Private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Deloitte Touche Tohmatsu India Private Limited</dc:creator>
  <cp:lastModifiedBy>Ananth G</cp:lastModifiedBy>
  <cp:lastPrinted>2025-05-08T07:23:07Z</cp:lastPrinted>
  <dcterms:created xsi:type="dcterms:W3CDTF">2012-03-12T08:36:04Z</dcterms:created>
  <dcterms:modified xsi:type="dcterms:W3CDTF">2026-03-07T12:44:48Z</dcterms:modified>
</cp:coreProperties>
</file>